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12044\Documents\EX\PCL\.minecraft\versions\Palmon\dev_stuffs\"/>
    </mc:Choice>
  </mc:AlternateContent>
  <xr:revisionPtr revIDLastSave="0" documentId="13_ncr:1_{DBD0331D-59CD-4F1E-BD8D-9ED91D960274}" xr6:coauthVersionLast="47" xr6:coauthVersionMax="47" xr10:uidLastSave="{00000000-0000-0000-0000-000000000000}"/>
  <bookViews>
    <workbookView xWindow="270" yWindow="2100" windowWidth="19200" windowHeight="11260" activeTab="2" xr2:uid="{00000000-000D-0000-FFFF-FFFF00000000}"/>
  </bookViews>
  <sheets>
    <sheet name="伤害计算" sheetId="1" r:id="rId1"/>
    <sheet name="数值投放" sheetId="2" r:id="rId2"/>
    <sheet name="材料数值" sheetId="3" r:id="rId3"/>
    <sheet name="角色属性构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2" i="3" l="1"/>
  <c r="L90" i="3"/>
  <c r="L88" i="3"/>
  <c r="L86" i="3"/>
  <c r="L84" i="3"/>
  <c r="P57" i="3"/>
  <c r="O57" i="3"/>
  <c r="N57" i="3"/>
  <c r="L57" i="3"/>
  <c r="K57" i="3"/>
  <c r="I57" i="3"/>
  <c r="H57" i="3"/>
  <c r="F57" i="3"/>
  <c r="E57" i="3"/>
  <c r="P56" i="3"/>
  <c r="O56" i="3"/>
  <c r="N56" i="3"/>
  <c r="L56" i="3"/>
  <c r="K56" i="3"/>
  <c r="I56" i="3"/>
  <c r="H56" i="3"/>
  <c r="F56" i="3"/>
  <c r="E56" i="3"/>
  <c r="P55" i="3"/>
  <c r="O55" i="3"/>
  <c r="N55" i="3"/>
  <c r="L55" i="3"/>
  <c r="K55" i="3"/>
  <c r="I55" i="3"/>
  <c r="H55" i="3"/>
  <c r="F55" i="3"/>
  <c r="E55" i="3"/>
  <c r="P54" i="3"/>
  <c r="O54" i="3"/>
  <c r="N54" i="3"/>
  <c r="L54" i="3"/>
  <c r="K54" i="3"/>
  <c r="I54" i="3"/>
  <c r="H54" i="3"/>
  <c r="F54" i="3"/>
  <c r="E54" i="3"/>
  <c r="P53" i="3"/>
  <c r="O53" i="3"/>
  <c r="N53" i="3"/>
  <c r="L53" i="3"/>
  <c r="K53" i="3"/>
  <c r="I53" i="3"/>
  <c r="H53" i="3"/>
  <c r="F53" i="3"/>
  <c r="E53" i="3"/>
  <c r="P52" i="3"/>
  <c r="O52" i="3"/>
  <c r="N52" i="3"/>
  <c r="L52" i="3"/>
  <c r="K52" i="3"/>
  <c r="I52" i="3"/>
  <c r="H52" i="3"/>
  <c r="F52" i="3"/>
  <c r="E52" i="3"/>
  <c r="P51" i="3"/>
  <c r="O51" i="3"/>
  <c r="N51" i="3"/>
  <c r="L51" i="3"/>
  <c r="K51" i="3"/>
  <c r="I51" i="3"/>
  <c r="H51" i="3"/>
  <c r="F51" i="3"/>
  <c r="E51" i="3"/>
  <c r="P50" i="3"/>
  <c r="O50" i="3"/>
  <c r="N50" i="3"/>
  <c r="L50" i="3"/>
  <c r="K50" i="3"/>
  <c r="I50" i="3"/>
  <c r="H50" i="3"/>
  <c r="F50" i="3"/>
  <c r="E50" i="3"/>
  <c r="P49" i="3"/>
  <c r="O49" i="3"/>
  <c r="N49" i="3"/>
  <c r="L49" i="3"/>
  <c r="K49" i="3"/>
  <c r="I49" i="3"/>
  <c r="H49" i="3"/>
  <c r="F49" i="3"/>
  <c r="E49" i="3"/>
  <c r="P48" i="3"/>
  <c r="O48" i="3"/>
  <c r="N48" i="3"/>
  <c r="L48" i="3"/>
  <c r="K48" i="3"/>
  <c r="I48" i="3"/>
  <c r="H48" i="3"/>
  <c r="F48" i="3"/>
  <c r="E48" i="3"/>
  <c r="P47" i="3"/>
  <c r="O47" i="3"/>
  <c r="N47" i="3"/>
  <c r="L47" i="3"/>
  <c r="K47" i="3"/>
  <c r="I47" i="3"/>
  <c r="H47" i="3"/>
  <c r="F47" i="3"/>
  <c r="E47" i="3"/>
  <c r="P46" i="3"/>
  <c r="O46" i="3"/>
  <c r="N46" i="3"/>
  <c r="L46" i="3"/>
  <c r="K46" i="3"/>
  <c r="I46" i="3"/>
  <c r="H46" i="3"/>
  <c r="F46" i="3"/>
  <c r="E46" i="3"/>
  <c r="P45" i="3"/>
  <c r="O45" i="3"/>
  <c r="N45" i="3"/>
  <c r="L45" i="3"/>
  <c r="K45" i="3"/>
  <c r="I45" i="3"/>
  <c r="H45" i="3"/>
  <c r="F45" i="3"/>
  <c r="E45" i="3"/>
  <c r="O44" i="3"/>
  <c r="N44" i="3"/>
  <c r="L44" i="3"/>
  <c r="K44" i="3"/>
  <c r="I44" i="3"/>
  <c r="H44" i="3"/>
  <c r="F44" i="3"/>
  <c r="E44" i="3"/>
  <c r="P44" i="3" s="1"/>
  <c r="O43" i="3"/>
  <c r="N43" i="3"/>
  <c r="L43" i="3"/>
  <c r="K43" i="3"/>
  <c r="I43" i="3"/>
  <c r="H43" i="3"/>
  <c r="F43" i="3"/>
  <c r="E43" i="3"/>
  <c r="P43" i="3" s="1"/>
  <c r="O42" i="3"/>
  <c r="N42" i="3"/>
  <c r="L42" i="3"/>
  <c r="K42" i="3"/>
  <c r="I42" i="3"/>
  <c r="H42" i="3"/>
  <c r="F42" i="3"/>
  <c r="E42" i="3"/>
  <c r="O41" i="3"/>
  <c r="N41" i="3"/>
  <c r="L41" i="3"/>
  <c r="K41" i="3"/>
  <c r="I41" i="3"/>
  <c r="H41" i="3"/>
  <c r="F41" i="3"/>
  <c r="E41" i="3"/>
  <c r="O40" i="3"/>
  <c r="N40" i="3"/>
  <c r="L40" i="3"/>
  <c r="K40" i="3"/>
  <c r="I40" i="3"/>
  <c r="H40" i="3"/>
  <c r="F40" i="3"/>
  <c r="E40" i="3"/>
  <c r="P40" i="3" s="1"/>
  <c r="O39" i="3"/>
  <c r="N39" i="3"/>
  <c r="L39" i="3"/>
  <c r="K39" i="3"/>
  <c r="I39" i="3"/>
  <c r="H39" i="3"/>
  <c r="F39" i="3"/>
  <c r="E39" i="3"/>
  <c r="O38" i="3"/>
  <c r="N38" i="3"/>
  <c r="L38" i="3"/>
  <c r="K38" i="3"/>
  <c r="I38" i="3"/>
  <c r="H38" i="3"/>
  <c r="F38" i="3"/>
  <c r="E38" i="3"/>
  <c r="P38" i="3" s="1"/>
  <c r="O37" i="3"/>
  <c r="N37" i="3"/>
  <c r="L37" i="3"/>
  <c r="K37" i="3"/>
  <c r="I37" i="3"/>
  <c r="H37" i="3"/>
  <c r="F37" i="3"/>
  <c r="E37" i="3"/>
  <c r="P37" i="3" s="1"/>
  <c r="R29" i="3"/>
  <c r="O29" i="3"/>
  <c r="M29" i="3"/>
  <c r="L29" i="3"/>
  <c r="R28" i="3"/>
  <c r="O28" i="3"/>
  <c r="M28" i="3"/>
  <c r="L28" i="3"/>
  <c r="R27" i="3"/>
  <c r="O27" i="3"/>
  <c r="M27" i="3"/>
  <c r="L27" i="3"/>
  <c r="R26" i="3"/>
  <c r="O26" i="3"/>
  <c r="M26" i="3"/>
  <c r="L26" i="3"/>
  <c r="R25" i="3"/>
  <c r="O25" i="3"/>
  <c r="M25" i="3"/>
  <c r="L25" i="3"/>
  <c r="R24" i="3"/>
  <c r="O24" i="3"/>
  <c r="M24" i="3"/>
  <c r="L24" i="3"/>
  <c r="R23" i="3"/>
  <c r="O23" i="3"/>
  <c r="M23" i="3"/>
  <c r="L23" i="3"/>
  <c r="R22" i="3"/>
  <c r="O22" i="3"/>
  <c r="M22" i="3"/>
  <c r="L22" i="3"/>
  <c r="R21" i="3"/>
  <c r="O21" i="3"/>
  <c r="M21" i="3"/>
  <c r="L21" i="3"/>
  <c r="R20" i="3"/>
  <c r="O20" i="3"/>
  <c r="M20" i="3"/>
  <c r="L20" i="3"/>
  <c r="R19" i="3"/>
  <c r="O19" i="3"/>
  <c r="M19" i="3"/>
  <c r="L19" i="3"/>
  <c r="R18" i="3"/>
  <c r="O18" i="3"/>
  <c r="M18" i="3"/>
  <c r="L18" i="3"/>
  <c r="R17" i="3"/>
  <c r="O17" i="3"/>
  <c r="M17" i="3"/>
  <c r="L17" i="3"/>
  <c r="R16" i="3"/>
  <c r="O16" i="3"/>
  <c r="M16" i="3"/>
  <c r="L16" i="3"/>
  <c r="R15" i="3"/>
  <c r="O15" i="3"/>
  <c r="M15" i="3"/>
  <c r="L15" i="3"/>
  <c r="R14" i="3"/>
  <c r="O14" i="3"/>
  <c r="M14" i="3"/>
  <c r="L14" i="3"/>
  <c r="R13" i="3"/>
  <c r="O13" i="3"/>
  <c r="M13" i="3"/>
  <c r="L13" i="3"/>
  <c r="R12" i="3"/>
  <c r="O12" i="3"/>
  <c r="M12" i="3"/>
  <c r="L12" i="3"/>
  <c r="R11" i="3"/>
  <c r="O11" i="3"/>
  <c r="M11" i="3"/>
  <c r="L11" i="3"/>
  <c r="R10" i="3"/>
  <c r="O10" i="3"/>
  <c r="M10" i="3"/>
  <c r="L10" i="3"/>
  <c r="R9" i="3"/>
  <c r="O9" i="3"/>
  <c r="M9" i="3"/>
  <c r="L9" i="3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O27" i="2"/>
  <c r="L27" i="2"/>
  <c r="I27" i="2"/>
  <c r="E27" i="2"/>
  <c r="D27" i="2"/>
  <c r="O26" i="2"/>
  <c r="L26" i="2"/>
  <c r="I26" i="2"/>
  <c r="E26" i="2"/>
  <c r="D26" i="2"/>
  <c r="O25" i="2"/>
  <c r="L25" i="2"/>
  <c r="I25" i="2"/>
  <c r="E25" i="2"/>
  <c r="D25" i="2"/>
  <c r="O24" i="2"/>
  <c r="L24" i="2"/>
  <c r="I24" i="2"/>
  <c r="E24" i="2"/>
  <c r="D24" i="2"/>
  <c r="O23" i="2"/>
  <c r="L23" i="2"/>
  <c r="I23" i="2"/>
  <c r="E23" i="2"/>
  <c r="D23" i="2"/>
  <c r="O22" i="2"/>
  <c r="L22" i="2"/>
  <c r="I22" i="2"/>
  <c r="E22" i="2"/>
  <c r="D22" i="2"/>
  <c r="O21" i="2"/>
  <c r="L21" i="2"/>
  <c r="I21" i="2"/>
  <c r="E21" i="2"/>
  <c r="D21" i="2"/>
  <c r="O20" i="2"/>
  <c r="L20" i="2"/>
  <c r="I20" i="2"/>
  <c r="E20" i="2"/>
  <c r="D20" i="2"/>
  <c r="O19" i="2"/>
  <c r="L19" i="2"/>
  <c r="I19" i="2"/>
  <c r="E19" i="2"/>
  <c r="D19" i="2"/>
  <c r="O18" i="2"/>
  <c r="L18" i="2"/>
  <c r="I18" i="2"/>
  <c r="E18" i="2"/>
  <c r="D18" i="2"/>
  <c r="O17" i="2"/>
  <c r="L17" i="2"/>
  <c r="I17" i="2"/>
  <c r="E17" i="2"/>
  <c r="D17" i="2"/>
  <c r="O16" i="2"/>
  <c r="L16" i="2"/>
  <c r="I16" i="2"/>
  <c r="E16" i="2"/>
  <c r="D16" i="2"/>
  <c r="O15" i="2"/>
  <c r="L15" i="2"/>
  <c r="I15" i="2"/>
  <c r="E15" i="2"/>
  <c r="D15" i="2"/>
  <c r="O14" i="2"/>
  <c r="L14" i="2"/>
  <c r="I14" i="2"/>
  <c r="E14" i="2"/>
  <c r="D14" i="2"/>
  <c r="O13" i="2"/>
  <c r="L13" i="2"/>
  <c r="I13" i="2"/>
  <c r="E13" i="2"/>
  <c r="D13" i="2"/>
  <c r="O12" i="2"/>
  <c r="L12" i="2"/>
  <c r="I12" i="2"/>
  <c r="E12" i="2"/>
  <c r="D12" i="2"/>
  <c r="O11" i="2"/>
  <c r="L11" i="2"/>
  <c r="I11" i="2"/>
  <c r="E11" i="2"/>
  <c r="D11" i="2"/>
  <c r="O10" i="2"/>
  <c r="L10" i="2"/>
  <c r="I10" i="2"/>
  <c r="E10" i="2"/>
  <c r="D10" i="2"/>
  <c r="O9" i="2"/>
  <c r="L9" i="2"/>
  <c r="I9" i="2"/>
  <c r="E9" i="2"/>
  <c r="D9" i="2"/>
  <c r="O8" i="2"/>
  <c r="L8" i="2"/>
  <c r="I8" i="2"/>
  <c r="E8" i="2"/>
  <c r="D8" i="2"/>
  <c r="O7" i="2"/>
  <c r="L7" i="2"/>
  <c r="I7" i="2"/>
  <c r="D7" i="2"/>
  <c r="E8" i="1"/>
  <c r="E7" i="1"/>
  <c r="E6" i="1"/>
  <c r="E5" i="1"/>
  <c r="E4" i="1"/>
  <c r="P42" i="3" l="1"/>
  <c r="P41" i="3"/>
  <c r="P39" i="3"/>
</calcChain>
</file>

<file path=xl/sharedStrings.xml><?xml version="1.0" encoding="utf-8"?>
<sst xmlns="http://schemas.openxmlformats.org/spreadsheetml/2006/main" count="154" uniqueCount="108">
  <si>
    <t>伤害计算公式</t>
  </si>
  <si>
    <t>最终伤害=伤害-（护甲*（1+韧性*0.02））</t>
  </si>
  <si>
    <t>阶段</t>
  </si>
  <si>
    <t>伤害</t>
  </si>
  <si>
    <t>护甲</t>
  </si>
  <si>
    <t>韧性</t>
  </si>
  <si>
    <t>最终伤害</t>
  </si>
  <si>
    <t>玩家</t>
  </si>
  <si>
    <t>敌人</t>
  </si>
  <si>
    <t>攻击成长公式</t>
  </si>
  <si>
    <t>耐久计算公式</t>
  </si>
  <si>
    <t>攻击=初始攻击+(等级-1)*成长系数</t>
  </si>
  <si>
    <t>耐久=血量/（伤害-护甲）</t>
  </si>
  <si>
    <t>初始属性10</t>
  </si>
  <si>
    <t>阶级</t>
  </si>
  <si>
    <t>小怪</t>
  </si>
  <si>
    <t>BOSS</t>
  </si>
  <si>
    <t>成长系数</t>
  </si>
  <si>
    <t>升级次数</t>
  </si>
  <si>
    <t>攻击</t>
  </si>
  <si>
    <t>差值</t>
  </si>
  <si>
    <t>血量</t>
  </si>
  <si>
    <t>耐久</t>
  </si>
  <si>
    <t>耐久=血量/（伤害-（护甲*（1+韧性*0.02）））</t>
  </si>
  <si>
    <t>真实护甲</t>
  </si>
  <si>
    <t>DPS计算公式</t>
  </si>
  <si>
    <t>最终数值=(工具基础+主要部件平均)*次要部件平均修正*词条总和*系数</t>
  </si>
  <si>
    <t>DPS=近战速度*(近战伤害-护甲)</t>
  </si>
  <si>
    <t>实际加成=1+基础加成*工具部件数量</t>
  </si>
  <si>
    <t>工具数值</t>
  </si>
  <si>
    <t>工具类型</t>
  </si>
  <si>
    <t>基础攻击</t>
  </si>
  <si>
    <t>基础攻速</t>
  </si>
  <si>
    <t>耐久系数%</t>
  </si>
  <si>
    <t>攻击系数%</t>
  </si>
  <si>
    <t>部件数量</t>
  </si>
  <si>
    <t>剑</t>
  </si>
  <si>
    <t>主要部件</t>
  </si>
  <si>
    <t>次要部件</t>
  </si>
  <si>
    <t>材料词条</t>
  </si>
  <si>
    <t>最终数值</t>
  </si>
  <si>
    <t>强化次数</t>
  </si>
  <si>
    <t>近战伤害+</t>
  </si>
  <si>
    <t>耐久+</t>
  </si>
  <si>
    <t>挖掘速度+</t>
  </si>
  <si>
    <t>挖掘等级</t>
  </si>
  <si>
    <t>耐久度%</t>
  </si>
  <si>
    <t>近战伤害%</t>
  </si>
  <si>
    <t>近战速度%</t>
  </si>
  <si>
    <t>挖掘速度%</t>
  </si>
  <si>
    <t>基础加成</t>
  </si>
  <si>
    <t>实际加成</t>
  </si>
  <si>
    <t>近战伤害</t>
  </si>
  <si>
    <t>参考数值</t>
  </si>
  <si>
    <t>近战速度</t>
  </si>
  <si>
    <t>DPS</t>
  </si>
  <si>
    <t>装备部位护甲分配公式</t>
  </si>
  <si>
    <t>部位护甲比例=等于当前部位权重/装备总权重</t>
  </si>
  <si>
    <t>部位韧性等于=装备总韧性/4</t>
  </si>
  <si>
    <t>部位护甲值=总护甲*值部位护甲%（向上取整）</t>
  </si>
  <si>
    <t>部位权重=所需材料数</t>
  </si>
  <si>
    <t>总权重24</t>
  </si>
  <si>
    <t>总护甲值</t>
  </si>
  <si>
    <t>总韧性值</t>
  </si>
  <si>
    <t>头盔</t>
  </si>
  <si>
    <t>胸甲</t>
  </si>
  <si>
    <t>护腿</t>
  </si>
  <si>
    <t>靴子</t>
  </si>
  <si>
    <t>实际总护甲</t>
  </si>
  <si>
    <t>部位护甲%</t>
  </si>
  <si>
    <t>最终数值=(工具基础+主要部件平均)*次要部件平均修正+词条总和*系数</t>
  </si>
  <si>
    <t>属性/部件</t>
  </si>
  <si>
    <t>基础</t>
  </si>
  <si>
    <t>小剑刃</t>
  </si>
  <si>
    <t>工具手柄</t>
  </si>
  <si>
    <t>无</t>
  </si>
  <si>
    <t>攻击系数</t>
  </si>
  <si>
    <t xml:space="preserve"> </t>
  </si>
  <si>
    <t>留空</t>
    <phoneticPr fontId="4" type="noConversion"/>
  </si>
  <si>
    <t>阶段1-2</t>
    <phoneticPr fontId="4" type="noConversion"/>
  </si>
  <si>
    <t>阶段3</t>
    <phoneticPr fontId="4" type="noConversion"/>
  </si>
  <si>
    <t>阶段4</t>
    <phoneticPr fontId="4" type="noConversion"/>
  </si>
  <si>
    <t>阶段5</t>
    <phoneticPr fontId="4" type="noConversion"/>
  </si>
  <si>
    <t>黑钢</t>
    <phoneticPr fontId="4" type="noConversion"/>
  </si>
  <si>
    <t>红钢</t>
    <phoneticPr fontId="4" type="noConversion"/>
  </si>
  <si>
    <t>石墨</t>
    <phoneticPr fontId="4" type="noConversion"/>
  </si>
  <si>
    <t>Alpha</t>
    <phoneticPr fontId="4" type="noConversion"/>
  </si>
  <si>
    <t>烈焰石英</t>
    <phoneticPr fontId="4" type="noConversion"/>
  </si>
  <si>
    <t>魔力钢</t>
    <phoneticPr fontId="4" type="noConversion"/>
  </si>
  <si>
    <t>黎明石</t>
    <phoneticPr fontId="4" type="noConversion"/>
  </si>
  <si>
    <t>Beta</t>
    <phoneticPr fontId="4" type="noConversion"/>
  </si>
  <si>
    <t>戴斯</t>
    <phoneticPr fontId="4" type="noConversion"/>
  </si>
  <si>
    <t>地岩</t>
    <phoneticPr fontId="4" type="noConversion"/>
  </si>
  <si>
    <t>现世</t>
    <phoneticPr fontId="4" type="noConversion"/>
  </si>
  <si>
    <t>稳态戴斯</t>
    <phoneticPr fontId="4" type="noConversion"/>
  </si>
  <si>
    <t>Gamma</t>
    <phoneticPr fontId="4" type="noConversion"/>
  </si>
  <si>
    <t>立方</t>
    <phoneticPr fontId="4" type="noConversion"/>
  </si>
  <si>
    <t>紫金</t>
    <phoneticPr fontId="4" type="noConversion"/>
  </si>
  <si>
    <t>原质钢</t>
    <phoneticPr fontId="4" type="noConversion"/>
  </si>
  <si>
    <t>精灵钢</t>
    <phoneticPr fontId="4" type="noConversion"/>
  </si>
  <si>
    <t>Delta</t>
    <phoneticPr fontId="4" type="noConversion"/>
  </si>
  <si>
    <t>归一</t>
    <phoneticPr fontId="4" type="noConversion"/>
  </si>
  <si>
    <t>终末钢</t>
    <phoneticPr fontId="4" type="noConversion"/>
  </si>
  <si>
    <t>聚变</t>
    <phoneticPr fontId="4" type="noConversion"/>
  </si>
  <si>
    <t>幽冥</t>
    <phoneticPr fontId="4" type="noConversion"/>
  </si>
  <si>
    <t>氦3</t>
    <phoneticPr fontId="4" type="noConversion"/>
  </si>
  <si>
    <t>无夜</t>
    <phoneticPr fontId="4" type="noConversion"/>
  </si>
  <si>
    <t>Epsilon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</si>
</sst>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aj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9" borderId="0" xfId="0" applyFill="1">
      <alignment vertical="center"/>
    </xf>
    <xf numFmtId="0" fontId="2" fillId="0" borderId="0" xfId="0" applyFo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3" fillId="13" borderId="1" xfId="3" applyBorder="1" applyAlignment="1">
      <alignment horizontal="center" vertical="center"/>
    </xf>
    <xf numFmtId="9" fontId="3" fillId="13" borderId="1" xfId="3" applyNumberFormat="1" applyBorder="1" applyAlignment="1">
      <alignment horizontal="center" vertical="center"/>
    </xf>
    <xf numFmtId="0" fontId="3" fillId="13" borderId="0" xfId="3">
      <alignment vertical="center"/>
    </xf>
    <xf numFmtId="0" fontId="3" fillId="14" borderId="1" xfId="4" applyBorder="1" applyAlignment="1">
      <alignment horizontal="center" vertical="center"/>
    </xf>
    <xf numFmtId="9" fontId="3" fillId="14" borderId="1" xfId="4" applyNumberFormat="1" applyBorder="1" applyAlignment="1">
      <alignment horizontal="center" vertical="center"/>
    </xf>
    <xf numFmtId="0" fontId="3" fillId="14" borderId="0" xfId="4">
      <alignment vertical="center"/>
    </xf>
    <xf numFmtId="0" fontId="3" fillId="12" borderId="1" xfId="2" applyBorder="1" applyAlignment="1">
      <alignment horizontal="center" vertical="center"/>
    </xf>
    <xf numFmtId="9" fontId="3" fillId="12" borderId="1" xfId="2" applyNumberFormat="1" applyBorder="1" applyAlignment="1">
      <alignment horizontal="center" vertical="center"/>
    </xf>
    <xf numFmtId="0" fontId="3" fillId="12" borderId="0" xfId="2">
      <alignment vertical="center"/>
    </xf>
    <xf numFmtId="0" fontId="3" fillId="15" borderId="1" xfId="5" applyBorder="1" applyAlignment="1">
      <alignment horizontal="center" vertical="center"/>
    </xf>
    <xf numFmtId="9" fontId="3" fillId="15" borderId="1" xfId="5" applyNumberFormat="1" applyBorder="1" applyAlignment="1">
      <alignment horizontal="center" vertical="center"/>
    </xf>
    <xf numFmtId="0" fontId="3" fillId="15" borderId="0" xfId="5">
      <alignment vertical="center"/>
    </xf>
    <xf numFmtId="0" fontId="3" fillId="11" borderId="1" xfId="1" applyBorder="1" applyAlignment="1">
      <alignment horizontal="center" vertical="center"/>
    </xf>
    <xf numFmtId="9" fontId="3" fillId="11" borderId="1" xfId="1" applyNumberFormat="1" applyBorder="1" applyAlignment="1">
      <alignment horizontal="center" vertical="center"/>
    </xf>
    <xf numFmtId="0" fontId="3" fillId="11" borderId="0" xfId="1">
      <alignment vertical="center"/>
    </xf>
    <xf numFmtId="0" fontId="5" fillId="13" borderId="0" xfId="3" applyFont="1">
      <alignment vertical="center"/>
    </xf>
    <xf numFmtId="0" fontId="5" fillId="14" borderId="0" xfId="4" applyFont="1">
      <alignment vertical="center"/>
    </xf>
    <xf numFmtId="0" fontId="5" fillId="12" borderId="0" xfId="2" applyFont="1">
      <alignment vertical="center"/>
    </xf>
    <xf numFmtId="0" fontId="5" fillId="15" borderId="0" xfId="5" applyFont="1">
      <alignment vertical="center"/>
    </xf>
    <xf numFmtId="0" fontId="5" fillId="15" borderId="0" xfId="5" applyFont="1" applyBorder="1">
      <alignment vertical="center"/>
    </xf>
    <xf numFmtId="0" fontId="0" fillId="6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11" borderId="1" xfId="1" applyFont="1" applyBorder="1" applyAlignment="1">
      <alignment horizontal="center" vertical="center"/>
    </xf>
    <xf numFmtId="0" fontId="3" fillId="11" borderId="1" xfId="1" applyBorder="1" applyAlignment="1">
      <alignment horizontal="center" vertical="center"/>
    </xf>
    <xf numFmtId="0" fontId="5" fillId="13" borderId="1" xfId="3" applyFont="1" applyBorder="1" applyAlignment="1">
      <alignment horizontal="center" vertical="center"/>
    </xf>
    <xf numFmtId="0" fontId="3" fillId="13" borderId="1" xfId="3" applyBorder="1" applyAlignment="1">
      <alignment horizontal="center" vertical="center"/>
    </xf>
    <xf numFmtId="0" fontId="5" fillId="14" borderId="1" xfId="4" applyFont="1" applyBorder="1" applyAlignment="1">
      <alignment horizontal="center" vertical="center"/>
    </xf>
    <xf numFmtId="0" fontId="3" fillId="14" borderId="1" xfId="4" applyBorder="1" applyAlignment="1">
      <alignment horizontal="center" vertical="center"/>
    </xf>
    <xf numFmtId="0" fontId="5" fillId="12" borderId="1" xfId="2" applyFont="1" applyBorder="1" applyAlignment="1">
      <alignment horizontal="center" vertical="center"/>
    </xf>
    <xf numFmtId="0" fontId="3" fillId="12" borderId="1" xfId="2" applyBorder="1" applyAlignment="1">
      <alignment horizontal="center" vertical="center"/>
    </xf>
    <xf numFmtId="0" fontId="5" fillId="15" borderId="1" xfId="5" applyFont="1" applyBorder="1" applyAlignment="1">
      <alignment horizontal="center" vertical="center"/>
    </xf>
    <xf numFmtId="0" fontId="3" fillId="15" borderId="1" xfId="5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13" borderId="2" xfId="3" applyBorder="1" applyAlignment="1">
      <alignment horizontal="center" vertical="center"/>
    </xf>
    <xf numFmtId="0" fontId="3" fillId="13" borderId="3" xfId="3" applyBorder="1" applyAlignment="1">
      <alignment horizontal="center" vertical="center"/>
    </xf>
    <xf numFmtId="0" fontId="3" fillId="13" borderId="1" xfId="3" applyBorder="1">
      <alignment vertical="center"/>
    </xf>
    <xf numFmtId="10" fontId="3" fillId="13" borderId="1" xfId="3" applyNumberFormat="1" applyBorder="1" applyAlignment="1">
      <alignment horizontal="center" vertical="center"/>
    </xf>
    <xf numFmtId="0" fontId="3" fillId="14" borderId="1" xfId="4" applyBorder="1">
      <alignment vertical="center"/>
    </xf>
    <xf numFmtId="10" fontId="3" fillId="14" borderId="1" xfId="4" applyNumberFormat="1" applyBorder="1" applyAlignment="1">
      <alignment horizontal="center" vertical="center"/>
    </xf>
    <xf numFmtId="0" fontId="3" fillId="14" borderId="2" xfId="4" applyBorder="1" applyAlignment="1">
      <alignment horizontal="center" vertical="center"/>
    </xf>
    <xf numFmtId="0" fontId="3" fillId="14" borderId="3" xfId="4" applyBorder="1" applyAlignment="1">
      <alignment horizontal="center" vertical="center"/>
    </xf>
    <xf numFmtId="0" fontId="3" fillId="12" borderId="1" xfId="2" applyBorder="1">
      <alignment vertical="center"/>
    </xf>
    <xf numFmtId="10" fontId="3" fillId="12" borderId="1" xfId="2" applyNumberFormat="1" applyBorder="1" applyAlignment="1">
      <alignment horizontal="center" vertical="center"/>
    </xf>
    <xf numFmtId="0" fontId="3" fillId="12" borderId="2" xfId="2" applyBorder="1" applyAlignment="1">
      <alignment horizontal="center" vertical="center"/>
    </xf>
    <xf numFmtId="0" fontId="3" fillId="12" borderId="3" xfId="2" applyBorder="1" applyAlignment="1">
      <alignment horizontal="center" vertical="center"/>
    </xf>
    <xf numFmtId="0" fontId="3" fillId="15" borderId="1" xfId="5" applyBorder="1">
      <alignment vertical="center"/>
    </xf>
    <xf numFmtId="10" fontId="3" fillId="15" borderId="1" xfId="5" applyNumberFormat="1" applyBorder="1" applyAlignment="1">
      <alignment horizontal="center" vertical="center"/>
    </xf>
    <xf numFmtId="0" fontId="3" fillId="15" borderId="2" xfId="5" applyBorder="1" applyAlignment="1">
      <alignment horizontal="center" vertical="center"/>
    </xf>
    <xf numFmtId="0" fontId="3" fillId="15" borderId="3" xfId="5" applyBorder="1" applyAlignment="1">
      <alignment horizontal="center" vertical="center"/>
    </xf>
  </cellXfs>
  <cellStyles count="6">
    <cellStyle name="20% - 着色 1" xfId="1" builtinId="30"/>
    <cellStyle name="20% - 着色 3" xfId="2" builtinId="38"/>
    <cellStyle name="20% - 着色 4" xfId="3" builtinId="42"/>
    <cellStyle name="20% - 着色 5" xfId="4" builtinId="46"/>
    <cellStyle name="20% - 着色 6" xfId="5" builtinId="5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60" zoomScaleNormal="160" workbookViewId="0">
      <selection activeCell="A10" sqref="A10"/>
    </sheetView>
  </sheetViews>
  <sheetFormatPr defaultColWidth="9" defaultRowHeight="14" x14ac:dyDescent="0.25"/>
  <sheetData>
    <row r="1" spans="1:5" x14ac:dyDescent="0.25">
      <c r="A1" s="33" t="s">
        <v>0</v>
      </c>
      <c r="B1" s="33"/>
      <c r="C1" s="5"/>
      <c r="D1" s="5"/>
    </row>
    <row r="2" spans="1:5" x14ac:dyDescent="0.25">
      <c r="A2" s="33" t="s">
        <v>1</v>
      </c>
      <c r="B2" s="33"/>
      <c r="C2" s="33"/>
      <c r="D2" s="33"/>
    </row>
    <row r="3" spans="1:5" x14ac:dyDescent="0.25">
      <c r="A3" s="11" t="s">
        <v>2</v>
      </c>
      <c r="B3" s="12" t="s">
        <v>3</v>
      </c>
      <c r="C3" s="11" t="s">
        <v>4</v>
      </c>
      <c r="D3" s="11" t="s">
        <v>5</v>
      </c>
      <c r="E3" s="11" t="s">
        <v>6</v>
      </c>
    </row>
    <row r="4" spans="1:5" x14ac:dyDescent="0.25">
      <c r="A4" s="3">
        <v>1</v>
      </c>
      <c r="B4" s="3">
        <v>10</v>
      </c>
      <c r="C4" s="3">
        <v>5</v>
      </c>
      <c r="D4" s="3">
        <v>1</v>
      </c>
      <c r="E4" s="3">
        <f>(B4-(C4*(1+D4*0.02)))</f>
        <v>4.9000000000000004</v>
      </c>
    </row>
    <row r="5" spans="1:5" x14ac:dyDescent="0.25">
      <c r="A5" s="3">
        <v>2</v>
      </c>
      <c r="B5" s="7">
        <v>20</v>
      </c>
      <c r="C5" s="2">
        <v>10</v>
      </c>
      <c r="D5" s="3">
        <v>2</v>
      </c>
      <c r="E5" s="3">
        <f>B5-(C5*(1+D5*0.02))</f>
        <v>9.6</v>
      </c>
    </row>
    <row r="6" spans="1:5" x14ac:dyDescent="0.25">
      <c r="A6" s="3">
        <v>3</v>
      </c>
      <c r="B6" s="3">
        <v>40</v>
      </c>
      <c r="C6" s="3">
        <v>20</v>
      </c>
      <c r="D6" s="3">
        <v>3</v>
      </c>
      <c r="E6" s="3">
        <f>B6-(C6*(1+D6*0.02))</f>
        <v>18.8</v>
      </c>
    </row>
    <row r="7" spans="1:5" x14ac:dyDescent="0.25">
      <c r="A7" s="3">
        <v>4</v>
      </c>
      <c r="B7" s="3">
        <v>80</v>
      </c>
      <c r="C7" s="3">
        <v>40</v>
      </c>
      <c r="D7" s="3">
        <v>4</v>
      </c>
      <c r="E7" s="3">
        <f>B7-(C7*(1+D7*0.02))</f>
        <v>36.799999999999997</v>
      </c>
    </row>
    <row r="8" spans="1:5" x14ac:dyDescent="0.25">
      <c r="A8" s="3">
        <v>5</v>
      </c>
      <c r="B8" s="3">
        <v>100</v>
      </c>
      <c r="C8" s="3">
        <v>60</v>
      </c>
      <c r="D8" s="3">
        <v>10</v>
      </c>
      <c r="E8" s="3">
        <f>B8-(C8*(1+D8*0.02))</f>
        <v>28</v>
      </c>
    </row>
  </sheetData>
  <mergeCells count="2">
    <mergeCell ref="A1:B1"/>
    <mergeCell ref="A2:D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"/>
  <sheetViews>
    <sheetView topLeftCell="E1" zoomScale="85" zoomScaleNormal="85" workbookViewId="0">
      <selection activeCell="L37" sqref="L37:L57"/>
    </sheetView>
  </sheetViews>
  <sheetFormatPr defaultColWidth="9" defaultRowHeight="14" x14ac:dyDescent="0.25"/>
  <cols>
    <col min="11" max="11" width="9.453125" customWidth="1"/>
    <col min="12" max="12" width="12.6328125"/>
    <col min="13" max="13" width="9.26953125" customWidth="1"/>
    <col min="15" max="15" width="11.6328125" customWidth="1"/>
  </cols>
  <sheetData>
    <row r="1" spans="1:17" x14ac:dyDescent="0.25">
      <c r="A1" s="34" t="s">
        <v>7</v>
      </c>
      <c r="B1" s="34"/>
      <c r="C1" s="34"/>
      <c r="D1" s="34"/>
      <c r="E1" s="34"/>
      <c r="H1" s="35" t="s">
        <v>8</v>
      </c>
      <c r="I1" s="35"/>
      <c r="J1" s="35"/>
      <c r="K1" s="35"/>
      <c r="L1" s="35"/>
    </row>
    <row r="2" spans="1:17" x14ac:dyDescent="0.25">
      <c r="A2" s="34"/>
      <c r="B2" s="34"/>
      <c r="C2" s="34"/>
      <c r="D2" s="34"/>
      <c r="E2" s="34"/>
      <c r="H2" s="35"/>
      <c r="I2" s="35"/>
      <c r="J2" s="35"/>
      <c r="K2" s="35"/>
      <c r="L2" s="35"/>
    </row>
    <row r="3" spans="1:17" x14ac:dyDescent="0.25">
      <c r="A3" s="42" t="s">
        <v>9</v>
      </c>
      <c r="B3" s="42"/>
      <c r="H3" s="42" t="s">
        <v>10</v>
      </c>
      <c r="I3" s="42"/>
    </row>
    <row r="4" spans="1:17" x14ac:dyDescent="0.25">
      <c r="A4" s="42" t="s">
        <v>11</v>
      </c>
      <c r="B4" s="42"/>
      <c r="C4" s="42"/>
      <c r="D4" s="42"/>
      <c r="H4" s="42" t="s">
        <v>12</v>
      </c>
      <c r="I4" s="42"/>
      <c r="J4" s="42"/>
    </row>
    <row r="5" spans="1:17" x14ac:dyDescent="0.25">
      <c r="A5" s="43" t="s">
        <v>13</v>
      </c>
      <c r="B5" s="43"/>
      <c r="H5" s="39" t="s">
        <v>14</v>
      </c>
      <c r="I5" s="39" t="s">
        <v>3</v>
      </c>
      <c r="J5" s="39" t="s">
        <v>15</v>
      </c>
      <c r="K5" s="39"/>
      <c r="L5" s="39"/>
      <c r="M5" s="39" t="s">
        <v>16</v>
      </c>
      <c r="N5" s="39"/>
      <c r="O5" s="39"/>
    </row>
    <row r="6" spans="1:17" x14ac:dyDescent="0.25">
      <c r="A6" s="1" t="s">
        <v>14</v>
      </c>
      <c r="B6" s="1" t="s">
        <v>17</v>
      </c>
      <c r="C6" s="1" t="s">
        <v>18</v>
      </c>
      <c r="D6" s="1" t="s">
        <v>19</v>
      </c>
      <c r="E6" s="1" t="s">
        <v>20</v>
      </c>
      <c r="H6" s="41"/>
      <c r="I6" s="39"/>
      <c r="J6" s="1" t="s">
        <v>21</v>
      </c>
      <c r="K6" s="1" t="s">
        <v>4</v>
      </c>
      <c r="L6" s="1" t="s">
        <v>22</v>
      </c>
      <c r="M6" s="1" t="s">
        <v>21</v>
      </c>
      <c r="N6" s="1" t="s">
        <v>4</v>
      </c>
      <c r="O6" s="1" t="s">
        <v>22</v>
      </c>
    </row>
    <row r="7" spans="1:17" x14ac:dyDescent="0.25">
      <c r="A7" s="36">
        <v>1</v>
      </c>
      <c r="B7" s="3">
        <v>1</v>
      </c>
      <c r="C7" s="3">
        <v>1</v>
      </c>
      <c r="D7" s="3">
        <f>10+(C7-1)*B7</f>
        <v>10</v>
      </c>
      <c r="E7" s="3"/>
      <c r="H7" s="36">
        <v>1</v>
      </c>
      <c r="I7" s="3">
        <f>D7</f>
        <v>10</v>
      </c>
      <c r="J7" s="3">
        <v>40</v>
      </c>
      <c r="K7" s="3">
        <v>2</v>
      </c>
      <c r="L7" s="3">
        <f t="shared" ref="L7:L27" si="0">CEILING(J7/(I7-K7),1)</f>
        <v>5</v>
      </c>
      <c r="M7" s="3">
        <v>250</v>
      </c>
      <c r="N7" s="3">
        <v>2</v>
      </c>
      <c r="O7" s="3">
        <f>CEILING(M7/(I7-N7),1)</f>
        <v>32</v>
      </c>
      <c r="Q7">
        <v>10</v>
      </c>
    </row>
    <row r="8" spans="1:17" x14ac:dyDescent="0.25">
      <c r="A8" s="37"/>
      <c r="B8" s="3">
        <v>1</v>
      </c>
      <c r="C8" s="3">
        <v>2</v>
      </c>
      <c r="D8" s="3">
        <f t="shared" ref="D8:D27" si="1">10+(C8-1)*B8</f>
        <v>11</v>
      </c>
      <c r="E8" s="3">
        <f t="shared" ref="E8:E27" si="2">D8-D7</f>
        <v>1</v>
      </c>
      <c r="H8" s="37"/>
      <c r="I8" s="3">
        <f t="shared" ref="I8:I27" si="3">D8</f>
        <v>11</v>
      </c>
      <c r="J8" s="3">
        <v>40</v>
      </c>
      <c r="K8" s="3">
        <v>2</v>
      </c>
      <c r="L8" s="3">
        <f t="shared" si="0"/>
        <v>5</v>
      </c>
      <c r="M8" s="3">
        <v>250</v>
      </c>
      <c r="N8" s="3">
        <v>2</v>
      </c>
      <c r="O8" s="3">
        <f t="shared" ref="O8:O27" si="4">CEILING(M8/(I8-N8),1)</f>
        <v>28</v>
      </c>
      <c r="Q8">
        <v>11</v>
      </c>
    </row>
    <row r="9" spans="1:17" x14ac:dyDescent="0.25">
      <c r="A9" s="37"/>
      <c r="B9" s="3">
        <v>1</v>
      </c>
      <c r="C9" s="3">
        <v>3</v>
      </c>
      <c r="D9" s="3">
        <f t="shared" si="1"/>
        <v>12</v>
      </c>
      <c r="E9" s="3">
        <f t="shared" si="2"/>
        <v>1</v>
      </c>
      <c r="H9" s="37"/>
      <c r="I9" s="3">
        <f t="shared" si="3"/>
        <v>12</v>
      </c>
      <c r="J9" s="3">
        <v>40</v>
      </c>
      <c r="K9" s="3">
        <v>2</v>
      </c>
      <c r="L9" s="3">
        <f t="shared" si="0"/>
        <v>4</v>
      </c>
      <c r="M9" s="3">
        <v>250</v>
      </c>
      <c r="N9" s="3">
        <v>2</v>
      </c>
      <c r="O9" s="3">
        <f t="shared" si="4"/>
        <v>25</v>
      </c>
      <c r="Q9">
        <v>12</v>
      </c>
    </row>
    <row r="10" spans="1:17" x14ac:dyDescent="0.25">
      <c r="A10" s="38"/>
      <c r="B10" s="3">
        <v>2</v>
      </c>
      <c r="C10" s="3">
        <v>4</v>
      </c>
      <c r="D10" s="3">
        <f t="shared" si="1"/>
        <v>16</v>
      </c>
      <c r="E10" s="3">
        <f t="shared" si="2"/>
        <v>4</v>
      </c>
      <c r="H10" s="38"/>
      <c r="I10" s="3">
        <f t="shared" si="3"/>
        <v>16</v>
      </c>
      <c r="J10" s="3">
        <v>40</v>
      </c>
      <c r="K10" s="3">
        <v>2</v>
      </c>
      <c r="L10" s="3">
        <f t="shared" si="0"/>
        <v>3</v>
      </c>
      <c r="M10" s="3">
        <v>250</v>
      </c>
      <c r="N10" s="3">
        <v>2</v>
      </c>
      <c r="O10" s="3">
        <f t="shared" si="4"/>
        <v>18</v>
      </c>
      <c r="Q10">
        <v>16</v>
      </c>
    </row>
    <row r="11" spans="1:17" x14ac:dyDescent="0.25">
      <c r="A11" s="36">
        <v>2</v>
      </c>
      <c r="B11" s="3">
        <v>4</v>
      </c>
      <c r="C11" s="3">
        <v>5</v>
      </c>
      <c r="D11" s="3">
        <f t="shared" si="1"/>
        <v>26</v>
      </c>
      <c r="E11" s="3">
        <f t="shared" si="2"/>
        <v>10</v>
      </c>
      <c r="H11" s="36">
        <v>2</v>
      </c>
      <c r="I11" s="3">
        <f t="shared" si="3"/>
        <v>26</v>
      </c>
      <c r="J11" s="3">
        <v>100</v>
      </c>
      <c r="K11" s="3">
        <v>10</v>
      </c>
      <c r="L11" s="3">
        <f t="shared" si="0"/>
        <v>7</v>
      </c>
      <c r="M11" s="3">
        <v>600</v>
      </c>
      <c r="N11" s="3">
        <v>5</v>
      </c>
      <c r="O11" s="3">
        <f t="shared" si="4"/>
        <v>29</v>
      </c>
      <c r="Q11">
        <v>26</v>
      </c>
    </row>
    <row r="12" spans="1:17" x14ac:dyDescent="0.25">
      <c r="A12" s="37"/>
      <c r="B12" s="3">
        <v>4</v>
      </c>
      <c r="C12" s="3">
        <v>6</v>
      </c>
      <c r="D12" s="3">
        <f t="shared" si="1"/>
        <v>30</v>
      </c>
      <c r="E12" s="3">
        <f t="shared" si="2"/>
        <v>4</v>
      </c>
      <c r="H12" s="37"/>
      <c r="I12" s="3">
        <f t="shared" si="3"/>
        <v>30</v>
      </c>
      <c r="J12" s="3">
        <v>100</v>
      </c>
      <c r="K12" s="3">
        <v>10</v>
      </c>
      <c r="L12" s="3">
        <f t="shared" si="0"/>
        <v>5</v>
      </c>
      <c r="M12" s="3">
        <v>600</v>
      </c>
      <c r="N12" s="3">
        <v>5</v>
      </c>
      <c r="O12" s="3">
        <f t="shared" si="4"/>
        <v>24</v>
      </c>
      <c r="Q12">
        <v>30</v>
      </c>
    </row>
    <row r="13" spans="1:17" x14ac:dyDescent="0.25">
      <c r="A13" s="37"/>
      <c r="B13" s="3">
        <v>4</v>
      </c>
      <c r="C13" s="3">
        <v>7</v>
      </c>
      <c r="D13" s="3">
        <f t="shared" si="1"/>
        <v>34</v>
      </c>
      <c r="E13" s="3">
        <f t="shared" si="2"/>
        <v>4</v>
      </c>
      <c r="H13" s="37"/>
      <c r="I13" s="3">
        <f t="shared" si="3"/>
        <v>34</v>
      </c>
      <c r="J13" s="3">
        <v>100</v>
      </c>
      <c r="K13" s="3">
        <v>10</v>
      </c>
      <c r="L13" s="3">
        <f t="shared" si="0"/>
        <v>5</v>
      </c>
      <c r="M13" s="3">
        <v>600</v>
      </c>
      <c r="N13" s="3">
        <v>5</v>
      </c>
      <c r="O13" s="3">
        <f t="shared" si="4"/>
        <v>21</v>
      </c>
      <c r="Q13">
        <v>34</v>
      </c>
    </row>
    <row r="14" spans="1:17" x14ac:dyDescent="0.25">
      <c r="A14" s="38"/>
      <c r="B14" s="3">
        <v>4</v>
      </c>
      <c r="C14" s="3">
        <v>8</v>
      </c>
      <c r="D14" s="3">
        <f t="shared" si="1"/>
        <v>38</v>
      </c>
      <c r="E14" s="3">
        <f t="shared" si="2"/>
        <v>4</v>
      </c>
      <c r="H14" s="38"/>
      <c r="I14" s="3">
        <f t="shared" si="3"/>
        <v>38</v>
      </c>
      <c r="J14" s="3">
        <v>100</v>
      </c>
      <c r="K14" s="3">
        <v>10</v>
      </c>
      <c r="L14" s="3">
        <f t="shared" si="0"/>
        <v>4</v>
      </c>
      <c r="M14" s="3">
        <v>600</v>
      </c>
      <c r="N14" s="3">
        <v>5</v>
      </c>
      <c r="O14" s="3">
        <f t="shared" si="4"/>
        <v>19</v>
      </c>
      <c r="Q14">
        <v>38</v>
      </c>
    </row>
    <row r="15" spans="1:17" x14ac:dyDescent="0.25">
      <c r="A15" s="36">
        <v>3</v>
      </c>
      <c r="B15" s="3">
        <v>9</v>
      </c>
      <c r="C15" s="3">
        <v>9</v>
      </c>
      <c r="D15" s="3">
        <f t="shared" si="1"/>
        <v>82</v>
      </c>
      <c r="E15" s="3">
        <f t="shared" si="2"/>
        <v>44</v>
      </c>
      <c r="H15" s="36">
        <v>3</v>
      </c>
      <c r="I15" s="3">
        <f t="shared" si="3"/>
        <v>82</v>
      </c>
      <c r="J15" s="3">
        <v>350</v>
      </c>
      <c r="K15" s="3">
        <v>25</v>
      </c>
      <c r="L15" s="3">
        <f t="shared" si="0"/>
        <v>7</v>
      </c>
      <c r="M15" s="3">
        <v>2500</v>
      </c>
      <c r="N15" s="3">
        <v>20</v>
      </c>
      <c r="O15" s="3">
        <f t="shared" si="4"/>
        <v>41</v>
      </c>
      <c r="Q15">
        <v>82</v>
      </c>
    </row>
    <row r="16" spans="1:17" x14ac:dyDescent="0.25">
      <c r="A16" s="37"/>
      <c r="B16" s="3">
        <v>9</v>
      </c>
      <c r="C16" s="3">
        <v>10</v>
      </c>
      <c r="D16" s="3">
        <f t="shared" si="1"/>
        <v>91</v>
      </c>
      <c r="E16" s="3">
        <f t="shared" si="2"/>
        <v>9</v>
      </c>
      <c r="H16" s="37"/>
      <c r="I16" s="3">
        <f t="shared" si="3"/>
        <v>91</v>
      </c>
      <c r="J16" s="3">
        <v>350</v>
      </c>
      <c r="K16" s="3">
        <v>25</v>
      </c>
      <c r="L16" s="3">
        <f t="shared" si="0"/>
        <v>6</v>
      </c>
      <c r="M16" s="3">
        <v>2500</v>
      </c>
      <c r="N16" s="3">
        <v>20</v>
      </c>
      <c r="O16" s="3">
        <f t="shared" si="4"/>
        <v>36</v>
      </c>
      <c r="Q16">
        <v>91</v>
      </c>
    </row>
    <row r="17" spans="1:17" x14ac:dyDescent="0.25">
      <c r="A17" s="37"/>
      <c r="B17" s="3">
        <v>9</v>
      </c>
      <c r="C17" s="3">
        <v>11</v>
      </c>
      <c r="D17" s="3">
        <f t="shared" si="1"/>
        <v>100</v>
      </c>
      <c r="E17" s="3">
        <f t="shared" si="2"/>
        <v>9</v>
      </c>
      <c r="H17" s="37"/>
      <c r="I17" s="3">
        <f t="shared" si="3"/>
        <v>100</v>
      </c>
      <c r="J17" s="3">
        <v>350</v>
      </c>
      <c r="K17" s="3">
        <v>25</v>
      </c>
      <c r="L17" s="3">
        <f t="shared" si="0"/>
        <v>5</v>
      </c>
      <c r="M17" s="3">
        <v>2500</v>
      </c>
      <c r="N17" s="3">
        <v>20</v>
      </c>
      <c r="O17" s="3">
        <f t="shared" si="4"/>
        <v>32</v>
      </c>
      <c r="Q17">
        <v>100</v>
      </c>
    </row>
    <row r="18" spans="1:17" x14ac:dyDescent="0.25">
      <c r="A18" s="37"/>
      <c r="B18" s="3">
        <v>9</v>
      </c>
      <c r="C18" s="3">
        <v>12</v>
      </c>
      <c r="D18" s="3">
        <f t="shared" si="1"/>
        <v>109</v>
      </c>
      <c r="E18" s="3">
        <f t="shared" si="2"/>
        <v>9</v>
      </c>
      <c r="H18" s="37"/>
      <c r="I18" s="3">
        <f t="shared" si="3"/>
        <v>109</v>
      </c>
      <c r="J18" s="3">
        <v>350</v>
      </c>
      <c r="K18" s="3">
        <v>25</v>
      </c>
      <c r="L18" s="3">
        <f t="shared" si="0"/>
        <v>5</v>
      </c>
      <c r="M18" s="3">
        <v>2500</v>
      </c>
      <c r="N18" s="3">
        <v>20</v>
      </c>
      <c r="O18" s="3">
        <f t="shared" si="4"/>
        <v>29</v>
      </c>
      <c r="Q18">
        <v>109</v>
      </c>
    </row>
    <row r="19" spans="1:17" x14ac:dyDescent="0.25">
      <c r="A19" s="37"/>
      <c r="B19" s="3">
        <v>9</v>
      </c>
      <c r="C19" s="3">
        <v>13</v>
      </c>
      <c r="D19" s="3">
        <f t="shared" si="1"/>
        <v>118</v>
      </c>
      <c r="E19" s="3">
        <f t="shared" si="2"/>
        <v>9</v>
      </c>
      <c r="H19" s="37"/>
      <c r="I19" s="3">
        <f t="shared" si="3"/>
        <v>118</v>
      </c>
      <c r="J19" s="3">
        <v>350</v>
      </c>
      <c r="K19" s="3">
        <v>25</v>
      </c>
      <c r="L19" s="3">
        <f t="shared" si="0"/>
        <v>4</v>
      </c>
      <c r="M19" s="3">
        <v>2500</v>
      </c>
      <c r="N19" s="3">
        <v>20</v>
      </c>
      <c r="O19" s="3">
        <f t="shared" si="4"/>
        <v>26</v>
      </c>
      <c r="Q19">
        <v>118</v>
      </c>
    </row>
    <row r="20" spans="1:17" x14ac:dyDescent="0.25">
      <c r="A20" s="38"/>
      <c r="B20" s="3">
        <v>9</v>
      </c>
      <c r="C20" s="3">
        <v>14</v>
      </c>
      <c r="D20" s="3">
        <f t="shared" si="1"/>
        <v>127</v>
      </c>
      <c r="E20" s="3">
        <f t="shared" si="2"/>
        <v>9</v>
      </c>
      <c r="H20" s="38"/>
      <c r="I20" s="3">
        <f t="shared" si="3"/>
        <v>127</v>
      </c>
      <c r="J20" s="3">
        <v>350</v>
      </c>
      <c r="K20" s="3">
        <v>25</v>
      </c>
      <c r="L20" s="3">
        <f t="shared" si="0"/>
        <v>4</v>
      </c>
      <c r="M20" s="3">
        <v>2500</v>
      </c>
      <c r="N20" s="3">
        <v>20</v>
      </c>
      <c r="O20" s="3">
        <f t="shared" si="4"/>
        <v>24</v>
      </c>
      <c r="Q20">
        <v>127</v>
      </c>
    </row>
    <row r="21" spans="1:17" x14ac:dyDescent="0.25">
      <c r="A21" s="36">
        <v>4</v>
      </c>
      <c r="B21" s="3">
        <v>16</v>
      </c>
      <c r="C21" s="3">
        <v>15</v>
      </c>
      <c r="D21" s="3">
        <f t="shared" si="1"/>
        <v>234</v>
      </c>
      <c r="E21" s="3">
        <f t="shared" si="2"/>
        <v>107</v>
      </c>
      <c r="H21" s="36">
        <v>4</v>
      </c>
      <c r="I21" s="3">
        <f t="shared" si="3"/>
        <v>234</v>
      </c>
      <c r="J21" s="3">
        <v>800</v>
      </c>
      <c r="K21" s="3">
        <v>100</v>
      </c>
      <c r="L21" s="3">
        <f t="shared" si="0"/>
        <v>6</v>
      </c>
      <c r="M21" s="3">
        <v>4000</v>
      </c>
      <c r="N21" s="3">
        <v>100</v>
      </c>
      <c r="O21" s="3">
        <f t="shared" si="4"/>
        <v>30</v>
      </c>
      <c r="Q21">
        <v>334</v>
      </c>
    </row>
    <row r="22" spans="1:17" x14ac:dyDescent="0.25">
      <c r="A22" s="37"/>
      <c r="B22" s="3">
        <v>16</v>
      </c>
      <c r="C22" s="3">
        <v>16</v>
      </c>
      <c r="D22" s="3">
        <f t="shared" si="1"/>
        <v>250</v>
      </c>
      <c r="E22" s="3">
        <f t="shared" si="2"/>
        <v>16</v>
      </c>
      <c r="H22" s="37"/>
      <c r="I22" s="3">
        <f t="shared" si="3"/>
        <v>250</v>
      </c>
      <c r="J22" s="3">
        <v>800</v>
      </c>
      <c r="K22" s="3">
        <v>100</v>
      </c>
      <c r="L22" s="3">
        <f t="shared" si="0"/>
        <v>6</v>
      </c>
      <c r="M22" s="3">
        <v>4000</v>
      </c>
      <c r="N22" s="3">
        <v>100</v>
      </c>
      <c r="O22" s="3">
        <f t="shared" si="4"/>
        <v>27</v>
      </c>
      <c r="Q22">
        <v>250</v>
      </c>
    </row>
    <row r="23" spans="1:17" x14ac:dyDescent="0.25">
      <c r="A23" s="38"/>
      <c r="B23" s="3">
        <v>16</v>
      </c>
      <c r="C23" s="3">
        <v>17</v>
      </c>
      <c r="D23" s="3">
        <f t="shared" si="1"/>
        <v>266</v>
      </c>
      <c r="E23" s="3">
        <f t="shared" si="2"/>
        <v>16</v>
      </c>
      <c r="H23" s="38"/>
      <c r="I23" s="3">
        <f t="shared" si="3"/>
        <v>266</v>
      </c>
      <c r="J23" s="3">
        <v>800</v>
      </c>
      <c r="K23" s="3">
        <v>100</v>
      </c>
      <c r="L23" s="3">
        <f t="shared" si="0"/>
        <v>5</v>
      </c>
      <c r="M23" s="3">
        <v>4000</v>
      </c>
      <c r="N23" s="3">
        <v>100</v>
      </c>
      <c r="O23" s="3">
        <f t="shared" si="4"/>
        <v>25</v>
      </c>
      <c r="Q23">
        <v>266</v>
      </c>
    </row>
    <row r="24" spans="1:17" x14ac:dyDescent="0.25">
      <c r="A24" s="36">
        <v>5</v>
      </c>
      <c r="B24" s="3">
        <v>30</v>
      </c>
      <c r="C24" s="3">
        <v>18</v>
      </c>
      <c r="D24" s="3">
        <f t="shared" si="1"/>
        <v>520</v>
      </c>
      <c r="E24" s="3">
        <f t="shared" si="2"/>
        <v>254</v>
      </c>
      <c r="H24" s="36">
        <v>5</v>
      </c>
      <c r="I24" s="3">
        <f t="shared" si="3"/>
        <v>520</v>
      </c>
      <c r="J24" s="3">
        <v>2000</v>
      </c>
      <c r="K24" s="3">
        <v>200</v>
      </c>
      <c r="L24" s="3">
        <f t="shared" si="0"/>
        <v>7</v>
      </c>
      <c r="M24" s="3">
        <v>15000</v>
      </c>
      <c r="N24" s="3">
        <v>200</v>
      </c>
      <c r="O24" s="3">
        <f t="shared" si="4"/>
        <v>47</v>
      </c>
      <c r="Q24">
        <v>520</v>
      </c>
    </row>
    <row r="25" spans="1:17" x14ac:dyDescent="0.25">
      <c r="A25" s="37"/>
      <c r="B25" s="3">
        <v>31</v>
      </c>
      <c r="C25" s="3">
        <v>19</v>
      </c>
      <c r="D25" s="3">
        <f t="shared" si="1"/>
        <v>568</v>
      </c>
      <c r="E25" s="3">
        <f t="shared" si="2"/>
        <v>48</v>
      </c>
      <c r="H25" s="37"/>
      <c r="I25" s="3">
        <f t="shared" si="3"/>
        <v>568</v>
      </c>
      <c r="J25" s="3">
        <v>2000</v>
      </c>
      <c r="K25" s="3">
        <v>200</v>
      </c>
      <c r="L25" s="3">
        <f t="shared" si="0"/>
        <v>6</v>
      </c>
      <c r="M25" s="3">
        <v>15000</v>
      </c>
      <c r="N25" s="3">
        <v>200</v>
      </c>
      <c r="O25" s="3">
        <f t="shared" si="4"/>
        <v>41</v>
      </c>
      <c r="Q25">
        <v>568</v>
      </c>
    </row>
    <row r="26" spans="1:17" x14ac:dyDescent="0.25">
      <c r="A26" s="37"/>
      <c r="B26" s="3">
        <v>32</v>
      </c>
      <c r="C26" s="3">
        <v>20</v>
      </c>
      <c r="D26" s="3">
        <f t="shared" si="1"/>
        <v>618</v>
      </c>
      <c r="E26" s="3">
        <f t="shared" si="2"/>
        <v>50</v>
      </c>
      <c r="H26" s="37"/>
      <c r="I26" s="3">
        <f t="shared" si="3"/>
        <v>618</v>
      </c>
      <c r="J26" s="3">
        <v>2000</v>
      </c>
      <c r="K26" s="3">
        <v>200</v>
      </c>
      <c r="L26" s="3">
        <f t="shared" si="0"/>
        <v>5</v>
      </c>
      <c r="M26" s="3">
        <v>15000</v>
      </c>
      <c r="N26" s="3">
        <v>200</v>
      </c>
      <c r="O26" s="3">
        <f t="shared" si="4"/>
        <v>36</v>
      </c>
      <c r="Q26">
        <v>618</v>
      </c>
    </row>
    <row r="27" spans="1:17" x14ac:dyDescent="0.25">
      <c r="A27" s="38"/>
      <c r="B27" s="3">
        <v>35</v>
      </c>
      <c r="C27" s="3">
        <v>21</v>
      </c>
      <c r="D27" s="3">
        <f t="shared" si="1"/>
        <v>710</v>
      </c>
      <c r="E27" s="3">
        <f t="shared" si="2"/>
        <v>92</v>
      </c>
      <c r="H27" s="38"/>
      <c r="I27" s="3">
        <f t="shared" si="3"/>
        <v>710</v>
      </c>
      <c r="J27" s="3">
        <v>2000</v>
      </c>
      <c r="K27" s="3">
        <v>200</v>
      </c>
      <c r="L27" s="3">
        <f t="shared" si="0"/>
        <v>4</v>
      </c>
      <c r="M27" s="3">
        <v>15000</v>
      </c>
      <c r="N27" s="3">
        <v>200</v>
      </c>
      <c r="O27" s="3">
        <f t="shared" si="4"/>
        <v>30</v>
      </c>
      <c r="Q27">
        <v>710</v>
      </c>
    </row>
    <row r="30" spans="1:17" x14ac:dyDescent="0.25">
      <c r="D30" s="9"/>
    </row>
    <row r="32" spans="1:17" ht="25.5" x14ac:dyDescent="0.25">
      <c r="A32" s="10"/>
      <c r="B32" s="10"/>
      <c r="C32" s="10"/>
      <c r="D32" s="10"/>
      <c r="E32" s="10"/>
      <c r="H32" s="34" t="s">
        <v>7</v>
      </c>
      <c r="I32" s="34"/>
      <c r="J32" s="34"/>
      <c r="K32" s="34"/>
      <c r="L32" s="34"/>
      <c r="M32" s="34"/>
      <c r="N32" s="34"/>
    </row>
    <row r="33" spans="1:14" ht="25.5" x14ac:dyDescent="0.25">
      <c r="A33" s="10"/>
      <c r="B33" s="10"/>
      <c r="C33" s="10"/>
      <c r="D33" s="10"/>
      <c r="E33" s="10"/>
      <c r="H33" s="34"/>
      <c r="I33" s="34"/>
      <c r="J33" s="34"/>
      <c r="K33" s="34"/>
      <c r="L33" s="34"/>
      <c r="M33" s="34"/>
      <c r="N33" s="34"/>
    </row>
    <row r="34" spans="1:14" x14ac:dyDescent="0.25">
      <c r="H34" s="40" t="s">
        <v>10</v>
      </c>
      <c r="I34" s="40"/>
    </row>
    <row r="35" spans="1:14" x14ac:dyDescent="0.25">
      <c r="H35" s="40" t="s">
        <v>23</v>
      </c>
      <c r="I35" s="40"/>
      <c r="J35" s="40"/>
      <c r="K35" s="40"/>
      <c r="L35" s="40"/>
    </row>
    <row r="36" spans="1:14" x14ac:dyDescent="0.25">
      <c r="H36" s="1" t="s">
        <v>14</v>
      </c>
      <c r="I36" s="1" t="s">
        <v>3</v>
      </c>
      <c r="J36" s="1" t="s">
        <v>21</v>
      </c>
      <c r="K36" s="1" t="s">
        <v>4</v>
      </c>
      <c r="L36" s="1" t="s">
        <v>5</v>
      </c>
      <c r="M36" s="8" t="s">
        <v>24</v>
      </c>
      <c r="N36" s="8" t="s">
        <v>22</v>
      </c>
    </row>
    <row r="37" spans="1:14" x14ac:dyDescent="0.25">
      <c r="H37" s="36">
        <v>1</v>
      </c>
      <c r="I37" s="6">
        <v>15</v>
      </c>
      <c r="J37" s="6">
        <v>60</v>
      </c>
      <c r="K37" s="6">
        <v>0</v>
      </c>
      <c r="L37" s="6">
        <v>0</v>
      </c>
      <c r="M37" s="6">
        <v>0</v>
      </c>
      <c r="N37" s="6">
        <f>CEILING(J37/(I37-(K37*(1+L37*0.02))),1)</f>
        <v>4</v>
      </c>
    </row>
    <row r="38" spans="1:14" x14ac:dyDescent="0.25">
      <c r="H38" s="37"/>
      <c r="I38" s="6">
        <v>15</v>
      </c>
      <c r="J38" s="6">
        <v>60</v>
      </c>
      <c r="K38" s="6">
        <v>4</v>
      </c>
      <c r="L38" s="6">
        <v>0</v>
      </c>
      <c r="M38" s="6">
        <f t="shared" ref="M38:M57" si="5">K38*(1+L38*0.02)</f>
        <v>4</v>
      </c>
      <c r="N38" s="6">
        <f t="shared" ref="N38:N57" si="6">CEILING(J38/(I38-(K38*(1+L38*0.02))),1)</f>
        <v>6</v>
      </c>
    </row>
    <row r="39" spans="1:14" x14ac:dyDescent="0.25">
      <c r="H39" s="37"/>
      <c r="I39" s="6">
        <v>15</v>
      </c>
      <c r="J39" s="6">
        <v>60</v>
      </c>
      <c r="K39" s="6">
        <v>8</v>
      </c>
      <c r="L39" s="6">
        <v>0</v>
      </c>
      <c r="M39" s="6">
        <f t="shared" si="5"/>
        <v>8</v>
      </c>
      <c r="N39" s="6">
        <f t="shared" si="6"/>
        <v>9</v>
      </c>
    </row>
    <row r="40" spans="1:14" x14ac:dyDescent="0.25">
      <c r="H40" s="38"/>
      <c r="I40" s="6">
        <v>15</v>
      </c>
      <c r="J40" s="6">
        <v>60</v>
      </c>
      <c r="K40" s="6">
        <v>8</v>
      </c>
      <c r="L40" s="6">
        <v>4</v>
      </c>
      <c r="M40" s="6">
        <f t="shared" si="5"/>
        <v>8.64</v>
      </c>
      <c r="N40" s="6">
        <f t="shared" si="6"/>
        <v>10</v>
      </c>
    </row>
    <row r="41" spans="1:14" x14ac:dyDescent="0.25">
      <c r="H41" s="36">
        <v>2</v>
      </c>
      <c r="I41" s="6">
        <v>35</v>
      </c>
      <c r="J41" s="6">
        <v>100</v>
      </c>
      <c r="K41" s="6">
        <v>12</v>
      </c>
      <c r="L41" s="6">
        <v>4</v>
      </c>
      <c r="M41" s="6">
        <f t="shared" si="5"/>
        <v>12.96</v>
      </c>
      <c r="N41" s="6">
        <f t="shared" si="6"/>
        <v>5</v>
      </c>
    </row>
    <row r="42" spans="1:14" x14ac:dyDescent="0.25">
      <c r="H42" s="37"/>
      <c r="I42" s="6">
        <v>35</v>
      </c>
      <c r="J42" s="6">
        <v>100</v>
      </c>
      <c r="K42" s="6">
        <v>16</v>
      </c>
      <c r="L42" s="6">
        <v>4</v>
      </c>
      <c r="M42" s="6">
        <f t="shared" si="5"/>
        <v>17.28</v>
      </c>
      <c r="N42" s="6">
        <f t="shared" si="6"/>
        <v>6</v>
      </c>
    </row>
    <row r="43" spans="1:14" x14ac:dyDescent="0.25">
      <c r="H43" s="37"/>
      <c r="I43" s="6">
        <v>35</v>
      </c>
      <c r="J43" s="6">
        <v>100</v>
      </c>
      <c r="K43" s="6">
        <v>16</v>
      </c>
      <c r="L43" s="6">
        <v>8</v>
      </c>
      <c r="M43" s="6">
        <f t="shared" si="5"/>
        <v>18.559999999999999</v>
      </c>
      <c r="N43" s="6">
        <f t="shared" si="6"/>
        <v>7</v>
      </c>
    </row>
    <row r="44" spans="1:14" x14ac:dyDescent="0.25">
      <c r="H44" s="38"/>
      <c r="I44" s="6">
        <v>35</v>
      </c>
      <c r="J44" s="6">
        <v>100</v>
      </c>
      <c r="K44" s="6">
        <v>20</v>
      </c>
      <c r="L44" s="6">
        <v>8</v>
      </c>
      <c r="M44" s="6">
        <f t="shared" si="5"/>
        <v>23.2</v>
      </c>
      <c r="N44" s="6">
        <f t="shared" si="6"/>
        <v>9</v>
      </c>
    </row>
    <row r="45" spans="1:14" x14ac:dyDescent="0.25">
      <c r="H45" s="36">
        <v>3</v>
      </c>
      <c r="I45" s="6">
        <v>80</v>
      </c>
      <c r="J45" s="6">
        <v>200</v>
      </c>
      <c r="K45" s="6">
        <v>24</v>
      </c>
      <c r="L45" s="6">
        <v>8</v>
      </c>
      <c r="M45" s="6">
        <f t="shared" si="5"/>
        <v>27.84</v>
      </c>
      <c r="N45" s="6">
        <f t="shared" si="6"/>
        <v>4</v>
      </c>
    </row>
    <row r="46" spans="1:14" x14ac:dyDescent="0.25">
      <c r="H46" s="37"/>
      <c r="I46" s="6">
        <v>80</v>
      </c>
      <c r="J46" s="6">
        <v>200</v>
      </c>
      <c r="K46" s="6">
        <v>28</v>
      </c>
      <c r="L46" s="6">
        <v>12</v>
      </c>
      <c r="M46" s="6">
        <f t="shared" si="5"/>
        <v>34.72</v>
      </c>
      <c r="N46" s="6">
        <f t="shared" si="6"/>
        <v>5</v>
      </c>
    </row>
    <row r="47" spans="1:14" x14ac:dyDescent="0.25">
      <c r="H47" s="37"/>
      <c r="I47" s="6">
        <v>80</v>
      </c>
      <c r="J47" s="6">
        <v>200</v>
      </c>
      <c r="K47" s="6">
        <v>32</v>
      </c>
      <c r="L47" s="6">
        <v>12</v>
      </c>
      <c r="M47" s="6">
        <f t="shared" si="5"/>
        <v>39.68</v>
      </c>
      <c r="N47" s="6">
        <f t="shared" si="6"/>
        <v>5</v>
      </c>
    </row>
    <row r="48" spans="1:14" x14ac:dyDescent="0.25">
      <c r="H48" s="37"/>
      <c r="I48" s="6">
        <v>80</v>
      </c>
      <c r="J48" s="6">
        <v>200</v>
      </c>
      <c r="K48" s="6">
        <v>36</v>
      </c>
      <c r="L48" s="6">
        <v>12</v>
      </c>
      <c r="M48" s="6">
        <f t="shared" si="5"/>
        <v>44.64</v>
      </c>
      <c r="N48" s="6">
        <f t="shared" si="6"/>
        <v>6</v>
      </c>
    </row>
    <row r="49" spans="8:14" x14ac:dyDescent="0.25">
      <c r="H49" s="37"/>
      <c r="I49" s="6">
        <v>80</v>
      </c>
      <c r="J49" s="6">
        <v>200</v>
      </c>
      <c r="K49" s="6">
        <v>40</v>
      </c>
      <c r="L49" s="6">
        <v>12</v>
      </c>
      <c r="M49" s="6">
        <f t="shared" si="5"/>
        <v>49.6</v>
      </c>
      <c r="N49" s="6">
        <f t="shared" si="6"/>
        <v>7</v>
      </c>
    </row>
    <row r="50" spans="8:14" x14ac:dyDescent="0.25">
      <c r="H50" s="38"/>
      <c r="I50" s="6">
        <v>80</v>
      </c>
      <c r="J50" s="6">
        <v>200</v>
      </c>
      <c r="K50" s="6">
        <v>40</v>
      </c>
      <c r="L50" s="6">
        <v>16</v>
      </c>
      <c r="M50" s="6">
        <f t="shared" si="5"/>
        <v>52.8</v>
      </c>
      <c r="N50" s="6">
        <f t="shared" si="6"/>
        <v>8</v>
      </c>
    </row>
    <row r="51" spans="8:14" x14ac:dyDescent="0.25">
      <c r="H51" s="36">
        <v>4</v>
      </c>
      <c r="I51" s="6">
        <v>120</v>
      </c>
      <c r="J51" s="6">
        <v>240</v>
      </c>
      <c r="K51" s="6">
        <v>44</v>
      </c>
      <c r="L51" s="6">
        <v>16</v>
      </c>
      <c r="M51" s="6">
        <f t="shared" si="5"/>
        <v>58.08</v>
      </c>
      <c r="N51" s="6">
        <f t="shared" si="6"/>
        <v>4</v>
      </c>
    </row>
    <row r="52" spans="8:14" x14ac:dyDescent="0.25">
      <c r="H52" s="37"/>
      <c r="I52" s="6">
        <v>120</v>
      </c>
      <c r="J52" s="6">
        <v>240</v>
      </c>
      <c r="K52" s="6">
        <v>52</v>
      </c>
      <c r="L52" s="6">
        <v>20</v>
      </c>
      <c r="M52" s="6">
        <f t="shared" si="5"/>
        <v>72.8</v>
      </c>
      <c r="N52" s="6">
        <f t="shared" si="6"/>
        <v>6</v>
      </c>
    </row>
    <row r="53" spans="8:14" x14ac:dyDescent="0.25">
      <c r="H53" s="38"/>
      <c r="I53" s="6">
        <v>120</v>
      </c>
      <c r="J53" s="6">
        <v>240</v>
      </c>
      <c r="K53" s="6">
        <v>56</v>
      </c>
      <c r="L53" s="6">
        <v>24</v>
      </c>
      <c r="M53" s="6">
        <f t="shared" si="5"/>
        <v>82.88</v>
      </c>
      <c r="N53" s="6">
        <f t="shared" si="6"/>
        <v>7</v>
      </c>
    </row>
    <row r="54" spans="8:14" x14ac:dyDescent="0.25">
      <c r="H54" s="36">
        <v>5</v>
      </c>
      <c r="I54" s="6">
        <v>200</v>
      </c>
      <c r="J54" s="6">
        <v>400</v>
      </c>
      <c r="K54" s="6">
        <v>60</v>
      </c>
      <c r="L54" s="6">
        <v>28</v>
      </c>
      <c r="M54" s="6">
        <f t="shared" si="5"/>
        <v>93.6</v>
      </c>
      <c r="N54" s="6">
        <f t="shared" si="6"/>
        <v>4</v>
      </c>
    </row>
    <row r="55" spans="8:14" x14ac:dyDescent="0.25">
      <c r="H55" s="37"/>
      <c r="I55" s="6">
        <v>200</v>
      </c>
      <c r="J55" s="6">
        <v>400</v>
      </c>
      <c r="K55" s="6">
        <v>64</v>
      </c>
      <c r="L55" s="6">
        <v>32</v>
      </c>
      <c r="M55" s="6">
        <f t="shared" si="5"/>
        <v>104.96</v>
      </c>
      <c r="N55" s="6">
        <f t="shared" si="6"/>
        <v>5</v>
      </c>
    </row>
    <row r="56" spans="8:14" x14ac:dyDescent="0.25">
      <c r="H56" s="37"/>
      <c r="I56" s="6">
        <v>200</v>
      </c>
      <c r="J56" s="6">
        <v>400</v>
      </c>
      <c r="K56" s="6">
        <v>68</v>
      </c>
      <c r="L56" s="6">
        <v>36</v>
      </c>
      <c r="M56" s="6">
        <f t="shared" si="5"/>
        <v>116.96</v>
      </c>
      <c r="N56" s="6">
        <f t="shared" si="6"/>
        <v>5</v>
      </c>
    </row>
    <row r="57" spans="8:14" x14ac:dyDescent="0.25">
      <c r="H57" s="38"/>
      <c r="I57" s="6">
        <v>200</v>
      </c>
      <c r="J57" s="6">
        <v>400</v>
      </c>
      <c r="K57" s="6">
        <v>72</v>
      </c>
      <c r="L57" s="6">
        <v>40</v>
      </c>
      <c r="M57" s="6">
        <f t="shared" si="5"/>
        <v>129.6</v>
      </c>
      <c r="N57" s="6">
        <f t="shared" si="6"/>
        <v>6</v>
      </c>
    </row>
  </sheetData>
  <mergeCells count="29">
    <mergeCell ref="H45:H50"/>
    <mergeCell ref="H51:H53"/>
    <mergeCell ref="H54:H57"/>
    <mergeCell ref="M5:O5"/>
    <mergeCell ref="H34:I34"/>
    <mergeCell ref="H35:L35"/>
    <mergeCell ref="H5:H6"/>
    <mergeCell ref="H7:H10"/>
    <mergeCell ref="H11:H14"/>
    <mergeCell ref="H15:H20"/>
    <mergeCell ref="H21:H23"/>
    <mergeCell ref="H24:H27"/>
    <mergeCell ref="I5:I6"/>
    <mergeCell ref="J5:L5"/>
    <mergeCell ref="A1:E2"/>
    <mergeCell ref="H1:L2"/>
    <mergeCell ref="H32:N33"/>
    <mergeCell ref="H37:H40"/>
    <mergeCell ref="H41:H44"/>
    <mergeCell ref="A7:A10"/>
    <mergeCell ref="A11:A14"/>
    <mergeCell ref="A15:A20"/>
    <mergeCell ref="A21:A23"/>
    <mergeCell ref="A24:A27"/>
    <mergeCell ref="A3:B3"/>
    <mergeCell ref="H3:I3"/>
    <mergeCell ref="A4:D4"/>
    <mergeCell ref="H4:J4"/>
    <mergeCell ref="A5:B5"/>
  </mergeCells>
  <phoneticPr fontId="4" type="noConversion"/>
  <pageMargins left="0.7" right="0.7" top="0.75" bottom="0.75" header="0.3" footer="0.3"/>
  <pageSetup paperSize="9" orientation="portrait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数值投放!E8</xm:f>
              <xm:sqref>E8</xm:sqref>
            </x14:sparkline>
            <x14:sparkline>
              <xm:f>数值投放!E9</xm:f>
              <xm:sqref>E9</xm:sqref>
            </x14:sparkline>
            <x14:sparkline>
              <xm:f>数值投放!E10</xm:f>
              <xm:sqref>E10</xm:sqref>
            </x14:sparkline>
            <x14:sparkline>
              <xm:f>数值投放!E11</xm:f>
              <xm:sqref>E11</xm:sqref>
            </x14:sparkline>
            <x14:sparkline>
              <xm:f>数值投放!E12</xm:f>
              <xm:sqref>E12</xm:sqref>
            </x14:sparkline>
            <x14:sparkline>
              <xm:f>数值投放!E13</xm:f>
              <xm:sqref>E13</xm:sqref>
            </x14:sparkline>
            <x14:sparkline>
              <xm:f>数值投放!E14</xm:f>
              <xm:sqref>E14</xm:sqref>
            </x14:sparkline>
            <x14:sparkline>
              <xm:f>数值投放!E15</xm:f>
              <xm:sqref>E15</xm:sqref>
            </x14:sparkline>
            <x14:sparkline>
              <xm:f>数值投放!E16</xm:f>
              <xm:sqref>E16</xm:sqref>
            </x14:sparkline>
            <x14:sparkline>
              <xm:f>数值投放!E17</xm:f>
              <xm:sqref>E17</xm:sqref>
            </x14:sparkline>
            <x14:sparkline>
              <xm:f>数值投放!E18</xm:f>
              <xm:sqref>E18</xm:sqref>
            </x14:sparkline>
            <x14:sparkline>
              <xm:f>数值投放!E19</xm:f>
              <xm:sqref>E19</xm:sqref>
            </x14:sparkline>
            <x14:sparkline>
              <xm:f>数值投放!E20</xm:f>
              <xm:sqref>E20</xm:sqref>
            </x14:sparkline>
            <x14:sparkline>
              <xm:f>数值投放!E21</xm:f>
              <xm:sqref>E21</xm:sqref>
            </x14:sparkline>
            <x14:sparkline>
              <xm:f>数值投放!E22</xm:f>
              <xm:sqref>E22</xm:sqref>
            </x14:sparkline>
            <x14:sparkline>
              <xm:f>数值投放!E23</xm:f>
              <xm:sqref>E23</xm:sqref>
            </x14:sparkline>
            <x14:sparkline>
              <xm:f>数值投放!E24</xm:f>
              <xm:sqref>E24</xm:sqref>
            </x14:sparkline>
            <x14:sparkline>
              <xm:f>数值投放!E25</xm:f>
              <xm:sqref>E25</xm:sqref>
            </x14:sparkline>
            <x14:sparkline>
              <xm:f>数值投放!E26</xm:f>
              <xm:sqref>E26</xm:sqref>
            </x14:sparkline>
            <x14:sparkline>
              <xm:f>数值投放!E27</xm:f>
              <xm:sqref>E27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3"/>
  <sheetViews>
    <sheetView tabSelected="1" topLeftCell="A13" workbookViewId="0">
      <pane xSplit="1" topLeftCell="B1" activePane="topRight" state="frozen"/>
      <selection activeCell="A13" sqref="A13"/>
      <selection pane="topRight" activeCell="N62" sqref="N62"/>
    </sheetView>
  </sheetViews>
  <sheetFormatPr defaultColWidth="9" defaultRowHeight="14" x14ac:dyDescent="0.25"/>
  <sheetData>
    <row r="1" spans="1:21" x14ac:dyDescent="0.25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2"/>
      <c r="P1" s="2"/>
    </row>
    <row r="2" spans="1:21" x14ac:dyDescent="0.25">
      <c r="A2" s="55" t="s">
        <v>26</v>
      </c>
      <c r="B2" s="55"/>
      <c r="C2" s="55"/>
      <c r="D2" s="55"/>
      <c r="E2" s="55"/>
      <c r="F2" s="55"/>
      <c r="G2" s="55"/>
      <c r="H2" s="40" t="s">
        <v>27</v>
      </c>
      <c r="I2" s="40"/>
      <c r="J2" s="40"/>
      <c r="K2" s="55" t="s">
        <v>28</v>
      </c>
      <c r="L2" s="55"/>
      <c r="M2" s="55"/>
      <c r="N2" s="55"/>
      <c r="O2" s="2"/>
      <c r="P2" s="2"/>
    </row>
    <row r="3" spans="1:21" x14ac:dyDescent="0.25">
      <c r="A3" s="56" t="s">
        <v>29</v>
      </c>
      <c r="B3" s="56"/>
      <c r="C3" s="56"/>
      <c r="D3" s="56"/>
      <c r="E3" s="56"/>
      <c r="F3" s="56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1" x14ac:dyDescent="0.25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2"/>
      <c r="N4" s="2"/>
      <c r="O4" s="2"/>
      <c r="P4" s="2"/>
    </row>
    <row r="5" spans="1:21" x14ac:dyDescent="0.25">
      <c r="A5" s="3" t="s">
        <v>36</v>
      </c>
      <c r="B5" s="3">
        <v>3</v>
      </c>
      <c r="C5" s="3">
        <v>1.6</v>
      </c>
      <c r="D5" s="4">
        <v>1.1000000000000001</v>
      </c>
      <c r="E5" s="4">
        <v>1</v>
      </c>
      <c r="F5" s="3">
        <v>3</v>
      </c>
      <c r="G5" s="2"/>
      <c r="N5" s="2"/>
      <c r="O5" s="2"/>
      <c r="P5" s="2"/>
    </row>
    <row r="6" spans="1:2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1" x14ac:dyDescent="0.25">
      <c r="A7" s="33" t="s">
        <v>37</v>
      </c>
      <c r="B7" s="33"/>
      <c r="C7" s="33"/>
      <c r="D7" s="33"/>
      <c r="E7" s="33"/>
      <c r="F7" s="39" t="s">
        <v>38</v>
      </c>
      <c r="G7" s="39"/>
      <c r="H7" s="39"/>
      <c r="I7" s="39"/>
      <c r="J7" s="39"/>
      <c r="K7" s="55" t="s">
        <v>39</v>
      </c>
      <c r="L7" s="55"/>
      <c r="M7" s="40" t="s">
        <v>40</v>
      </c>
      <c r="N7" s="40"/>
      <c r="O7" s="40"/>
      <c r="P7" s="40"/>
      <c r="Q7" s="40"/>
      <c r="R7" s="40"/>
    </row>
    <row r="8" spans="1:21" x14ac:dyDescent="0.25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41</v>
      </c>
      <c r="G8" s="3" t="s">
        <v>46</v>
      </c>
      <c r="H8" s="3" t="s">
        <v>47</v>
      </c>
      <c r="I8" s="3" t="s">
        <v>48</v>
      </c>
      <c r="J8" s="3" t="s">
        <v>49</v>
      </c>
      <c r="K8" s="3" t="s">
        <v>50</v>
      </c>
      <c r="L8" s="3" t="s">
        <v>51</v>
      </c>
      <c r="M8" s="3" t="s">
        <v>52</v>
      </c>
      <c r="N8" s="2" t="s">
        <v>53</v>
      </c>
      <c r="O8" s="3" t="s">
        <v>54</v>
      </c>
      <c r="P8" s="3" t="s">
        <v>22</v>
      </c>
      <c r="Q8" s="3" t="s">
        <v>4</v>
      </c>
      <c r="R8" s="3" t="s">
        <v>55</v>
      </c>
    </row>
    <row r="9" spans="1:21" s="27" customFormat="1" x14ac:dyDescent="0.25">
      <c r="A9" s="25">
        <v>1</v>
      </c>
      <c r="B9" s="25">
        <v>6</v>
      </c>
      <c r="C9" s="25"/>
      <c r="D9" s="25"/>
      <c r="E9" s="25"/>
      <c r="F9" s="25">
        <v>1</v>
      </c>
      <c r="G9" s="25"/>
      <c r="H9" s="26">
        <v>1.1000000000000001</v>
      </c>
      <c r="I9" s="26">
        <v>1</v>
      </c>
      <c r="J9" s="25"/>
      <c r="K9" s="26">
        <v>0</v>
      </c>
      <c r="L9" s="25">
        <f>1+K9*F5</f>
        <v>1</v>
      </c>
      <c r="M9" s="25">
        <f>(B5+B9)*H9*L9*E5</f>
        <v>9.9</v>
      </c>
      <c r="N9" s="25">
        <v>10</v>
      </c>
      <c r="O9" s="25">
        <f>C5*I9</f>
        <v>1.6</v>
      </c>
      <c r="P9" s="25"/>
      <c r="Q9" s="25">
        <v>2</v>
      </c>
      <c r="R9" s="25">
        <f>O9*(M9-Q9)</f>
        <v>12.64</v>
      </c>
      <c r="S9" s="44" t="s">
        <v>78</v>
      </c>
    </row>
    <row r="10" spans="1:21" s="27" customFormat="1" x14ac:dyDescent="0.25">
      <c r="A10" s="25">
        <v>2</v>
      </c>
      <c r="B10" s="25">
        <v>7</v>
      </c>
      <c r="C10" s="25"/>
      <c r="D10" s="25"/>
      <c r="E10" s="25"/>
      <c r="F10" s="25">
        <v>2</v>
      </c>
      <c r="G10" s="25"/>
      <c r="H10" s="26">
        <v>1.1000000000000001</v>
      </c>
      <c r="I10" s="26">
        <v>1</v>
      </c>
      <c r="J10" s="25"/>
      <c r="K10" s="26">
        <v>0</v>
      </c>
      <c r="L10" s="25">
        <f>1+K10*F5</f>
        <v>1</v>
      </c>
      <c r="M10" s="25">
        <f>(B5+B10)*H10*L10*E5</f>
        <v>11</v>
      </c>
      <c r="N10" s="25">
        <v>11</v>
      </c>
      <c r="O10" s="25">
        <f>C5*I10</f>
        <v>1.6</v>
      </c>
      <c r="P10" s="25"/>
      <c r="Q10" s="25">
        <v>2</v>
      </c>
      <c r="R10" s="25">
        <f t="shared" ref="R10:R29" si="0">O10*(M10-Q10)</f>
        <v>14.4</v>
      </c>
      <c r="S10" s="45"/>
    </row>
    <row r="11" spans="1:21" s="27" customFormat="1" x14ac:dyDescent="0.25">
      <c r="A11" s="25">
        <v>3</v>
      </c>
      <c r="B11" s="25">
        <v>8</v>
      </c>
      <c r="C11" s="25"/>
      <c r="D11" s="25"/>
      <c r="E11" s="25"/>
      <c r="F11" s="25">
        <v>3</v>
      </c>
      <c r="G11" s="25"/>
      <c r="H11" s="26">
        <v>1.1000000000000001</v>
      </c>
      <c r="I11" s="26">
        <v>1</v>
      </c>
      <c r="J11" s="25"/>
      <c r="K11" s="26">
        <v>0</v>
      </c>
      <c r="L11" s="25">
        <f>1+K11*F5</f>
        <v>1</v>
      </c>
      <c r="M11" s="25">
        <f>(B5+B11)*H11*L11*E5</f>
        <v>12.1</v>
      </c>
      <c r="N11" s="25">
        <v>12</v>
      </c>
      <c r="O11" s="25">
        <f>C5*I11</f>
        <v>1.6</v>
      </c>
      <c r="P11" s="25"/>
      <c r="Q11" s="25">
        <v>2</v>
      </c>
      <c r="R11" s="25">
        <f t="shared" si="0"/>
        <v>16.16</v>
      </c>
      <c r="S11" s="45"/>
    </row>
    <row r="12" spans="1:21" s="15" customFormat="1" x14ac:dyDescent="0.25">
      <c r="A12" s="13">
        <v>4</v>
      </c>
      <c r="B12" s="13">
        <v>10</v>
      </c>
      <c r="C12" s="13"/>
      <c r="D12" s="13"/>
      <c r="E12" s="13"/>
      <c r="F12" s="13">
        <v>4</v>
      </c>
      <c r="G12" s="13"/>
      <c r="H12" s="14">
        <v>1.2</v>
      </c>
      <c r="I12" s="14">
        <v>1</v>
      </c>
      <c r="J12" s="13"/>
      <c r="K12" s="14">
        <v>0</v>
      </c>
      <c r="L12" s="13">
        <f>1+K12*F5</f>
        <v>1</v>
      </c>
      <c r="M12" s="13">
        <f>(B5+B12)*H12*L12*E5</f>
        <v>15.6</v>
      </c>
      <c r="N12" s="13">
        <v>16</v>
      </c>
      <c r="O12" s="13">
        <f>C5*I12</f>
        <v>1.6</v>
      </c>
      <c r="P12" s="13"/>
      <c r="Q12" s="13">
        <v>2</v>
      </c>
      <c r="R12" s="13">
        <f t="shared" si="0"/>
        <v>21.76</v>
      </c>
      <c r="S12" s="46" t="s">
        <v>79</v>
      </c>
      <c r="T12" s="28" t="s">
        <v>83</v>
      </c>
    </row>
    <row r="13" spans="1:21" s="15" customFormat="1" x14ac:dyDescent="0.25">
      <c r="A13" s="13">
        <v>5</v>
      </c>
      <c r="B13" s="13">
        <v>17</v>
      </c>
      <c r="C13" s="13"/>
      <c r="D13" s="13"/>
      <c r="E13" s="13"/>
      <c r="F13" s="13">
        <v>5</v>
      </c>
      <c r="G13" s="13"/>
      <c r="H13" s="14">
        <v>1.3</v>
      </c>
      <c r="I13" s="14">
        <v>1.05</v>
      </c>
      <c r="J13" s="13"/>
      <c r="K13" s="14">
        <v>0</v>
      </c>
      <c r="L13" s="13">
        <f>1+K13*F5</f>
        <v>1</v>
      </c>
      <c r="M13" s="13">
        <f>(B5+B13)*H13*L13*E5</f>
        <v>26</v>
      </c>
      <c r="N13" s="13">
        <v>26</v>
      </c>
      <c r="O13" s="13">
        <f>C5*I13</f>
        <v>1.68</v>
      </c>
      <c r="P13" s="13"/>
      <c r="Q13" s="13">
        <v>5</v>
      </c>
      <c r="R13" s="13">
        <f t="shared" si="0"/>
        <v>35.28</v>
      </c>
      <c r="S13" s="47"/>
      <c r="T13" s="28" t="s">
        <v>84</v>
      </c>
      <c r="U13" s="28" t="s">
        <v>87</v>
      </c>
    </row>
    <row r="14" spans="1:21" s="15" customFormat="1" x14ac:dyDescent="0.25">
      <c r="A14" s="13">
        <v>6</v>
      </c>
      <c r="B14" s="13">
        <v>20</v>
      </c>
      <c r="C14" s="13"/>
      <c r="D14" s="13"/>
      <c r="E14" s="13"/>
      <c r="F14" s="13">
        <v>6</v>
      </c>
      <c r="G14" s="13"/>
      <c r="H14" s="14">
        <v>1.3</v>
      </c>
      <c r="I14" s="14">
        <v>1.05</v>
      </c>
      <c r="J14" s="13"/>
      <c r="K14" s="14">
        <v>0</v>
      </c>
      <c r="L14" s="13">
        <f>1+K14*F5</f>
        <v>1</v>
      </c>
      <c r="M14" s="13">
        <f>(B5+B14)*H14*L14*E5</f>
        <v>29.9</v>
      </c>
      <c r="N14" s="13">
        <v>30</v>
      </c>
      <c r="O14" s="13">
        <f>C5*I14</f>
        <v>1.68</v>
      </c>
      <c r="P14" s="13"/>
      <c r="Q14" s="13">
        <v>5</v>
      </c>
      <c r="R14" s="13">
        <f t="shared" si="0"/>
        <v>41.832000000000001</v>
      </c>
      <c r="S14" s="47"/>
      <c r="T14" s="28" t="s">
        <v>85</v>
      </c>
      <c r="U14" s="28" t="s">
        <v>88</v>
      </c>
    </row>
    <row r="15" spans="1:21" s="15" customFormat="1" x14ac:dyDescent="0.25">
      <c r="A15" s="13">
        <v>7</v>
      </c>
      <c r="B15" s="13">
        <v>23</v>
      </c>
      <c r="C15" s="13"/>
      <c r="D15" s="13"/>
      <c r="E15" s="13"/>
      <c r="F15" s="13">
        <v>7</v>
      </c>
      <c r="G15" s="13"/>
      <c r="H15" s="14">
        <v>1.3</v>
      </c>
      <c r="I15" s="14">
        <v>1.05</v>
      </c>
      <c r="J15" s="13"/>
      <c r="K15" s="14">
        <v>0</v>
      </c>
      <c r="L15" s="13">
        <f>1+K15*F5</f>
        <v>1</v>
      </c>
      <c r="M15" s="13">
        <f>(B5+B15)*H15*L15*E5</f>
        <v>33.799999999999997</v>
      </c>
      <c r="N15" s="13">
        <v>34</v>
      </c>
      <c r="O15" s="13">
        <f>C5*I15</f>
        <v>1.68</v>
      </c>
      <c r="P15" s="13"/>
      <c r="Q15" s="13">
        <v>5</v>
      </c>
      <c r="R15" s="13">
        <f t="shared" si="0"/>
        <v>48.384</v>
      </c>
      <c r="S15" s="47"/>
      <c r="T15" s="28" t="s">
        <v>86</v>
      </c>
      <c r="U15" s="28" t="s">
        <v>89</v>
      </c>
    </row>
    <row r="16" spans="1:21" s="15" customFormat="1" x14ac:dyDescent="0.25">
      <c r="A16" s="13">
        <v>8</v>
      </c>
      <c r="B16" s="13">
        <v>25</v>
      </c>
      <c r="C16" s="13"/>
      <c r="D16" s="13"/>
      <c r="E16" s="13"/>
      <c r="F16" s="13">
        <v>8</v>
      </c>
      <c r="G16" s="13"/>
      <c r="H16" s="14">
        <v>1.35</v>
      </c>
      <c r="I16" s="14">
        <v>1.05</v>
      </c>
      <c r="J16" s="13"/>
      <c r="K16" s="14">
        <v>0</v>
      </c>
      <c r="L16" s="13">
        <f>1+K16*F5</f>
        <v>1</v>
      </c>
      <c r="M16" s="13">
        <f>(B5+B16)*H16*L16*E5</f>
        <v>37.799999999999997</v>
      </c>
      <c r="N16" s="13">
        <v>38</v>
      </c>
      <c r="O16" s="13">
        <f>C5*I16</f>
        <v>1.68</v>
      </c>
      <c r="P16" s="13"/>
      <c r="Q16" s="13">
        <v>5</v>
      </c>
      <c r="R16" s="13">
        <f t="shared" si="0"/>
        <v>55.103999999999999</v>
      </c>
      <c r="S16" s="47"/>
      <c r="U16" s="28" t="s">
        <v>90</v>
      </c>
    </row>
    <row r="17" spans="1:21" s="18" customFormat="1" x14ac:dyDescent="0.25">
      <c r="A17" s="16">
        <v>9</v>
      </c>
      <c r="B17" s="16">
        <v>52</v>
      </c>
      <c r="C17" s="16"/>
      <c r="D17" s="16"/>
      <c r="E17" s="16"/>
      <c r="F17" s="16">
        <v>9</v>
      </c>
      <c r="G17" s="16"/>
      <c r="H17" s="17">
        <v>1.5</v>
      </c>
      <c r="I17" s="17">
        <v>1.1000000000000001</v>
      </c>
      <c r="J17" s="16"/>
      <c r="K17" s="17">
        <v>0</v>
      </c>
      <c r="L17" s="16">
        <f>1+K17*F5</f>
        <v>1</v>
      </c>
      <c r="M17" s="16">
        <f>(B5+B17)*H17*L17*E5</f>
        <v>82.5</v>
      </c>
      <c r="N17" s="16">
        <v>82</v>
      </c>
      <c r="O17" s="16">
        <f>C5*I17</f>
        <v>1.76</v>
      </c>
      <c r="P17" s="16"/>
      <c r="Q17" s="16">
        <v>20</v>
      </c>
      <c r="R17" s="16">
        <f t="shared" si="0"/>
        <v>110</v>
      </c>
      <c r="S17" s="48" t="s">
        <v>80</v>
      </c>
      <c r="T17" s="29" t="s">
        <v>91</v>
      </c>
    </row>
    <row r="18" spans="1:21" s="18" customFormat="1" x14ac:dyDescent="0.25">
      <c r="A18" s="16">
        <v>10</v>
      </c>
      <c r="B18" s="16">
        <v>57</v>
      </c>
      <c r="C18" s="16"/>
      <c r="D18" s="16"/>
      <c r="E18" s="16"/>
      <c r="F18" s="16">
        <v>10</v>
      </c>
      <c r="G18" s="16"/>
      <c r="H18" s="17">
        <v>1.5</v>
      </c>
      <c r="I18" s="17">
        <v>1.1000000000000001</v>
      </c>
      <c r="J18" s="16"/>
      <c r="K18" s="17">
        <v>0</v>
      </c>
      <c r="L18" s="16">
        <f>1+K18*F5</f>
        <v>1</v>
      </c>
      <c r="M18" s="16">
        <f>(B5+B18)*H18*L18*E5</f>
        <v>90</v>
      </c>
      <c r="N18" s="16">
        <v>91</v>
      </c>
      <c r="O18" s="16">
        <f>C5*I18</f>
        <v>1.76</v>
      </c>
      <c r="P18" s="16"/>
      <c r="Q18" s="16">
        <v>20</v>
      </c>
      <c r="R18" s="16">
        <f t="shared" si="0"/>
        <v>123.2</v>
      </c>
      <c r="S18" s="49"/>
      <c r="T18" s="29" t="s">
        <v>92</v>
      </c>
    </row>
    <row r="19" spans="1:21" s="18" customFormat="1" x14ac:dyDescent="0.25">
      <c r="A19" s="16">
        <v>11</v>
      </c>
      <c r="B19" s="16">
        <v>62</v>
      </c>
      <c r="C19" s="16"/>
      <c r="D19" s="16"/>
      <c r="E19" s="16"/>
      <c r="F19" s="16">
        <v>11</v>
      </c>
      <c r="G19" s="16"/>
      <c r="H19" s="17">
        <v>1.5</v>
      </c>
      <c r="I19" s="17">
        <v>1.1000000000000001</v>
      </c>
      <c r="J19" s="16"/>
      <c r="K19" s="17">
        <v>0</v>
      </c>
      <c r="L19" s="16">
        <f>1+K19*F5</f>
        <v>1</v>
      </c>
      <c r="M19" s="16">
        <f>(B5+B19)*H19*L19*E5</f>
        <v>97.5</v>
      </c>
      <c r="N19" s="16">
        <v>100</v>
      </c>
      <c r="O19" s="16">
        <f>C5*I19</f>
        <v>1.76</v>
      </c>
      <c r="P19" s="16"/>
      <c r="Q19" s="16">
        <v>20</v>
      </c>
      <c r="R19" s="16">
        <f t="shared" si="0"/>
        <v>136.4</v>
      </c>
      <c r="S19" s="49"/>
      <c r="T19" s="29" t="s">
        <v>93</v>
      </c>
    </row>
    <row r="20" spans="1:21" s="18" customFormat="1" x14ac:dyDescent="0.25">
      <c r="A20" s="16">
        <v>12</v>
      </c>
      <c r="B20" s="16">
        <v>70</v>
      </c>
      <c r="C20" s="16"/>
      <c r="D20" s="16"/>
      <c r="E20" s="16"/>
      <c r="F20" s="16">
        <v>12</v>
      </c>
      <c r="G20" s="16"/>
      <c r="H20" s="17">
        <v>1.5</v>
      </c>
      <c r="I20" s="17">
        <v>1.1000000000000001</v>
      </c>
      <c r="J20" s="16"/>
      <c r="K20" s="17">
        <v>0</v>
      </c>
      <c r="L20" s="16">
        <f>1+K20*F5</f>
        <v>1</v>
      </c>
      <c r="M20" s="16">
        <f>(B5+B20)*H20*L20*E5</f>
        <v>109.5</v>
      </c>
      <c r="N20" s="16">
        <v>109</v>
      </c>
      <c r="O20" s="16">
        <f>C5*I20</f>
        <v>1.76</v>
      </c>
      <c r="P20" s="16"/>
      <c r="Q20" s="16">
        <v>20</v>
      </c>
      <c r="R20" s="16">
        <f t="shared" si="0"/>
        <v>157.52000000000001</v>
      </c>
      <c r="S20" s="49"/>
      <c r="T20" s="29" t="s">
        <v>94</v>
      </c>
    </row>
    <row r="21" spans="1:21" s="18" customFormat="1" x14ac:dyDescent="0.25">
      <c r="A21" s="16">
        <v>13</v>
      </c>
      <c r="B21" s="16">
        <v>72</v>
      </c>
      <c r="C21" s="16"/>
      <c r="D21" s="16"/>
      <c r="E21" s="16"/>
      <c r="F21" s="16">
        <v>13</v>
      </c>
      <c r="G21" s="16"/>
      <c r="H21" s="17">
        <v>1.6</v>
      </c>
      <c r="I21" s="17">
        <v>1.1000000000000001</v>
      </c>
      <c r="J21" s="16"/>
      <c r="K21" s="17">
        <v>0</v>
      </c>
      <c r="L21" s="16">
        <f>1+K21*F5</f>
        <v>1</v>
      </c>
      <c r="M21" s="16">
        <f>(B5+B21)*H21*L21*E5</f>
        <v>120</v>
      </c>
      <c r="N21" s="16">
        <v>118</v>
      </c>
      <c r="O21" s="16">
        <f>C5*I21</f>
        <v>1.76</v>
      </c>
      <c r="P21" s="16"/>
      <c r="Q21" s="16">
        <v>20</v>
      </c>
      <c r="R21" s="16">
        <f t="shared" si="0"/>
        <v>176</v>
      </c>
      <c r="S21" s="49"/>
      <c r="T21" s="29" t="s">
        <v>95</v>
      </c>
      <c r="U21" s="18" t="s">
        <v>97</v>
      </c>
    </row>
    <row r="22" spans="1:21" s="18" customFormat="1" x14ac:dyDescent="0.25">
      <c r="A22" s="16">
        <v>14</v>
      </c>
      <c r="B22" s="16">
        <v>76</v>
      </c>
      <c r="C22" s="16"/>
      <c r="D22" s="16"/>
      <c r="E22" s="16"/>
      <c r="F22" s="16">
        <v>14</v>
      </c>
      <c r="G22" s="16"/>
      <c r="H22" s="17">
        <v>1.6</v>
      </c>
      <c r="I22" s="17">
        <v>1.1000000000000001</v>
      </c>
      <c r="J22" s="16"/>
      <c r="K22" s="17">
        <v>0</v>
      </c>
      <c r="L22" s="16">
        <f>1+K22*F5</f>
        <v>1</v>
      </c>
      <c r="M22" s="16">
        <f>(B5+B22)*H22*L22*E5</f>
        <v>126.4</v>
      </c>
      <c r="N22" s="16">
        <v>127</v>
      </c>
      <c r="O22" s="16">
        <f>C5*I22</f>
        <v>1.76</v>
      </c>
      <c r="P22" s="16"/>
      <c r="Q22" s="16">
        <v>20</v>
      </c>
      <c r="R22" s="16">
        <f t="shared" si="0"/>
        <v>187.26400000000001</v>
      </c>
      <c r="S22" s="49"/>
      <c r="T22" s="29" t="s">
        <v>96</v>
      </c>
      <c r="U22" s="18" t="s">
        <v>98</v>
      </c>
    </row>
    <row r="23" spans="1:21" s="21" customFormat="1" x14ac:dyDescent="0.25">
      <c r="A23" s="19">
        <v>15</v>
      </c>
      <c r="B23" s="19">
        <v>135</v>
      </c>
      <c r="C23" s="19"/>
      <c r="D23" s="19"/>
      <c r="E23" s="19"/>
      <c r="F23" s="19">
        <v>15</v>
      </c>
      <c r="G23" s="19"/>
      <c r="H23" s="20">
        <v>1.7</v>
      </c>
      <c r="I23" s="20">
        <v>1.1499999999999999</v>
      </c>
      <c r="J23" s="19"/>
      <c r="K23" s="20">
        <v>0</v>
      </c>
      <c r="L23" s="19">
        <f>1+K23*F5</f>
        <v>1</v>
      </c>
      <c r="M23" s="19">
        <f>(B5+B23)*H23*L23*E5</f>
        <v>234.6</v>
      </c>
      <c r="N23" s="19">
        <v>234</v>
      </c>
      <c r="O23" s="19">
        <f>C5*I23</f>
        <v>1.84</v>
      </c>
      <c r="P23" s="19"/>
      <c r="Q23" s="19">
        <v>100</v>
      </c>
      <c r="R23" s="19">
        <f t="shared" si="0"/>
        <v>247.66399999999999</v>
      </c>
      <c r="S23" s="50" t="s">
        <v>81</v>
      </c>
      <c r="T23" s="30" t="s">
        <v>99</v>
      </c>
    </row>
    <row r="24" spans="1:21" s="21" customFormat="1" x14ac:dyDescent="0.25">
      <c r="A24" s="19">
        <v>16</v>
      </c>
      <c r="B24" s="19">
        <v>135</v>
      </c>
      <c r="C24" s="19"/>
      <c r="D24" s="19"/>
      <c r="E24" s="19"/>
      <c r="F24" s="19">
        <v>16</v>
      </c>
      <c r="G24" s="19"/>
      <c r="H24" s="20">
        <v>1.8</v>
      </c>
      <c r="I24" s="20">
        <v>1.1499999999999999</v>
      </c>
      <c r="J24" s="19"/>
      <c r="K24" s="20">
        <v>0</v>
      </c>
      <c r="L24" s="19">
        <f>1+K24*F5</f>
        <v>1</v>
      </c>
      <c r="M24" s="19">
        <f>(B5+B24)*H24*L24*E5</f>
        <v>248.4</v>
      </c>
      <c r="N24" s="19">
        <v>250</v>
      </c>
      <c r="O24" s="19">
        <f>C5*I24</f>
        <v>1.84</v>
      </c>
      <c r="P24" s="19"/>
      <c r="Q24" s="19">
        <v>100</v>
      </c>
      <c r="R24" s="19">
        <f t="shared" si="0"/>
        <v>273.05599999999998</v>
      </c>
      <c r="S24" s="51"/>
      <c r="T24" s="30" t="s">
        <v>101</v>
      </c>
    </row>
    <row r="25" spans="1:21" s="21" customFormat="1" x14ac:dyDescent="0.25">
      <c r="A25" s="19">
        <v>17</v>
      </c>
      <c r="B25" s="19">
        <v>145</v>
      </c>
      <c r="C25" s="19"/>
      <c r="D25" s="19"/>
      <c r="E25" s="19"/>
      <c r="F25" s="19">
        <v>17</v>
      </c>
      <c r="G25" s="19"/>
      <c r="H25" s="20">
        <v>1.8</v>
      </c>
      <c r="I25" s="20">
        <v>1.1499999999999999</v>
      </c>
      <c r="J25" s="19"/>
      <c r="K25" s="20">
        <v>0</v>
      </c>
      <c r="L25" s="19">
        <f>1+K25*F5</f>
        <v>1</v>
      </c>
      <c r="M25" s="19">
        <f>(B5+B25)*H25*L25*E5</f>
        <v>266.39999999999998</v>
      </c>
      <c r="N25" s="19">
        <v>266</v>
      </c>
      <c r="O25" s="19">
        <f>C5*I25</f>
        <v>1.84</v>
      </c>
      <c r="P25" s="19"/>
      <c r="Q25" s="19">
        <v>100</v>
      </c>
      <c r="R25" s="19">
        <f t="shared" si="0"/>
        <v>306.17599999999999</v>
      </c>
      <c r="S25" s="51"/>
      <c r="T25" s="30" t="s">
        <v>100</v>
      </c>
      <c r="U25" s="21" t="s">
        <v>102</v>
      </c>
    </row>
    <row r="26" spans="1:21" s="24" customFormat="1" x14ac:dyDescent="0.25">
      <c r="A26" s="22">
        <v>18</v>
      </c>
      <c r="B26" s="22">
        <v>270</v>
      </c>
      <c r="C26" s="22"/>
      <c r="D26" s="22"/>
      <c r="E26" s="22"/>
      <c r="F26" s="22">
        <v>18</v>
      </c>
      <c r="G26" s="22"/>
      <c r="H26" s="23">
        <v>1.9</v>
      </c>
      <c r="I26" s="23">
        <v>1.2</v>
      </c>
      <c r="J26" s="22"/>
      <c r="K26" s="23">
        <v>0</v>
      </c>
      <c r="L26" s="22">
        <f>1+K26*F5</f>
        <v>1</v>
      </c>
      <c r="M26" s="22">
        <f>(B5+B26)*H26*L26*E5</f>
        <v>518.70000000000005</v>
      </c>
      <c r="N26" s="22">
        <v>520</v>
      </c>
      <c r="O26" s="22">
        <f>C5*I26</f>
        <v>1.92</v>
      </c>
      <c r="P26" s="22"/>
      <c r="Q26" s="22">
        <v>200</v>
      </c>
      <c r="R26" s="22">
        <f t="shared" si="0"/>
        <v>611.904</v>
      </c>
      <c r="S26" s="52" t="s">
        <v>82</v>
      </c>
      <c r="T26" s="31" t="s">
        <v>103</v>
      </c>
      <c r="U26" s="31" t="s">
        <v>104</v>
      </c>
    </row>
    <row r="27" spans="1:21" s="24" customFormat="1" x14ac:dyDescent="0.25">
      <c r="A27" s="22">
        <v>19</v>
      </c>
      <c r="B27" s="22">
        <v>295</v>
      </c>
      <c r="C27" s="22"/>
      <c r="D27" s="22"/>
      <c r="E27" s="22"/>
      <c r="F27" s="22">
        <v>19</v>
      </c>
      <c r="G27" s="22"/>
      <c r="H27" s="23">
        <v>1.9</v>
      </c>
      <c r="I27" s="23">
        <v>1.2</v>
      </c>
      <c r="J27" s="22"/>
      <c r="K27" s="23">
        <v>0</v>
      </c>
      <c r="L27" s="22">
        <f>1+K27*F5</f>
        <v>1</v>
      </c>
      <c r="M27" s="22">
        <f>(B5+B27)*H27*L27*E5</f>
        <v>566.20000000000005</v>
      </c>
      <c r="N27" s="22">
        <v>568</v>
      </c>
      <c r="O27" s="22">
        <f>C5*I27</f>
        <v>1.92</v>
      </c>
      <c r="P27" s="22"/>
      <c r="Q27" s="22">
        <v>200</v>
      </c>
      <c r="R27" s="22">
        <f t="shared" si="0"/>
        <v>703.10400000000004</v>
      </c>
      <c r="S27" s="53"/>
      <c r="T27" s="31" t="s">
        <v>105</v>
      </c>
    </row>
    <row r="28" spans="1:21" s="24" customFormat="1" x14ac:dyDescent="0.25">
      <c r="A28" s="22">
        <v>20</v>
      </c>
      <c r="B28" s="22">
        <v>325</v>
      </c>
      <c r="C28" s="22"/>
      <c r="D28" s="22"/>
      <c r="E28" s="22"/>
      <c r="F28" s="22">
        <v>20</v>
      </c>
      <c r="G28" s="22"/>
      <c r="H28" s="23">
        <v>1.9</v>
      </c>
      <c r="I28" s="23">
        <v>1.2</v>
      </c>
      <c r="J28" s="22"/>
      <c r="K28" s="23">
        <v>0</v>
      </c>
      <c r="L28" s="22">
        <f>1+K28*F5</f>
        <v>1</v>
      </c>
      <c r="M28" s="22">
        <f>(B5+B28)*H28*L28*E5</f>
        <v>623.20000000000005</v>
      </c>
      <c r="N28" s="22">
        <v>618</v>
      </c>
      <c r="O28" s="22">
        <f>C5*I28</f>
        <v>1.92</v>
      </c>
      <c r="P28" s="22"/>
      <c r="Q28" s="22">
        <v>200</v>
      </c>
      <c r="R28" s="22">
        <f t="shared" si="0"/>
        <v>812.54399999999998</v>
      </c>
      <c r="S28" s="53"/>
      <c r="T28" s="31" t="s">
        <v>106</v>
      </c>
    </row>
    <row r="29" spans="1:21" s="24" customFormat="1" x14ac:dyDescent="0.25">
      <c r="A29" s="22">
        <v>21</v>
      </c>
      <c r="B29" s="22">
        <v>350</v>
      </c>
      <c r="C29" s="22"/>
      <c r="D29" s="22"/>
      <c r="E29" s="22"/>
      <c r="F29" s="22">
        <v>21</v>
      </c>
      <c r="G29" s="22"/>
      <c r="H29" s="23">
        <v>2</v>
      </c>
      <c r="I29" s="23">
        <v>1.2</v>
      </c>
      <c r="J29" s="22"/>
      <c r="K29" s="23">
        <v>0</v>
      </c>
      <c r="L29" s="22">
        <f>1+K29*F5</f>
        <v>1</v>
      </c>
      <c r="M29" s="22">
        <f>(B5+B29)*H29*L29*E5</f>
        <v>706</v>
      </c>
      <c r="N29" s="22">
        <v>710</v>
      </c>
      <c r="O29" s="22">
        <f>C5*I29</f>
        <v>1.92</v>
      </c>
      <c r="P29" s="22"/>
      <c r="Q29" s="22">
        <v>200</v>
      </c>
      <c r="R29" s="22">
        <f t="shared" si="0"/>
        <v>971.52</v>
      </c>
      <c r="S29" s="53"/>
      <c r="T29" s="32" t="s">
        <v>107</v>
      </c>
    </row>
    <row r="32" spans="1:21" x14ac:dyDescent="0.25">
      <c r="A32" s="39" t="s">
        <v>56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1:17" x14ac:dyDescent="0.25">
      <c r="A33" s="55" t="s">
        <v>57</v>
      </c>
      <c r="B33" s="55"/>
      <c r="C33" s="55"/>
      <c r="D33" s="55"/>
      <c r="E33" s="55"/>
      <c r="F33" s="40" t="s">
        <v>58</v>
      </c>
      <c r="G33" s="40"/>
      <c r="H33" s="40"/>
      <c r="I33" s="55" t="s">
        <v>59</v>
      </c>
      <c r="J33" s="55"/>
      <c r="K33" s="55"/>
      <c r="L33" s="55"/>
      <c r="M33" s="55"/>
    </row>
    <row r="34" spans="1:17" x14ac:dyDescent="0.25">
      <c r="A34" s="33" t="s">
        <v>60</v>
      </c>
      <c r="B34" s="33"/>
      <c r="C34" s="33"/>
      <c r="D34" s="5" t="s">
        <v>61</v>
      </c>
    </row>
    <row r="35" spans="1:17" x14ac:dyDescent="0.25">
      <c r="A35" s="54" t="s">
        <v>41</v>
      </c>
      <c r="B35" s="54" t="s">
        <v>62</v>
      </c>
      <c r="C35" s="54" t="s">
        <v>63</v>
      </c>
      <c r="D35" s="54" t="s">
        <v>64</v>
      </c>
      <c r="E35" s="54"/>
      <c r="F35" s="54"/>
      <c r="G35" s="54" t="s">
        <v>65</v>
      </c>
      <c r="H35" s="54"/>
      <c r="I35" s="54"/>
      <c r="J35" s="54" t="s">
        <v>66</v>
      </c>
      <c r="K35" s="54"/>
      <c r="L35" s="54"/>
      <c r="M35" s="54" t="s">
        <v>67</v>
      </c>
      <c r="N35" s="54"/>
      <c r="O35" s="54"/>
      <c r="P35" s="54" t="s">
        <v>68</v>
      </c>
      <c r="Q35" s="54"/>
    </row>
    <row r="36" spans="1:17" x14ac:dyDescent="0.25">
      <c r="A36" s="54"/>
      <c r="B36" s="54"/>
      <c r="C36" s="54"/>
      <c r="D36" s="3" t="s">
        <v>69</v>
      </c>
      <c r="E36" s="3" t="s">
        <v>4</v>
      </c>
      <c r="F36" s="3" t="s">
        <v>5</v>
      </c>
      <c r="G36" s="3" t="s">
        <v>69</v>
      </c>
      <c r="H36" s="3" t="s">
        <v>4</v>
      </c>
      <c r="I36" s="3" t="s">
        <v>5</v>
      </c>
      <c r="J36" s="3" t="s">
        <v>69</v>
      </c>
      <c r="K36" s="3" t="s">
        <v>4</v>
      </c>
      <c r="L36" s="3" t="s">
        <v>5</v>
      </c>
      <c r="M36" s="3" t="s">
        <v>69</v>
      </c>
      <c r="N36" s="3" t="s">
        <v>4</v>
      </c>
      <c r="O36" s="3" t="s">
        <v>5</v>
      </c>
      <c r="P36" s="54"/>
      <c r="Q36" s="54"/>
    </row>
    <row r="37" spans="1:17" s="15" customFormat="1" x14ac:dyDescent="0.25">
      <c r="A37" s="13">
        <v>1</v>
      </c>
      <c r="B37" s="59">
        <v>0</v>
      </c>
      <c r="C37" s="59">
        <v>0</v>
      </c>
      <c r="D37" s="60">
        <v>0.20799999999999999</v>
      </c>
      <c r="E37" s="13">
        <f>CEILING(B37*D37,1)</f>
        <v>0</v>
      </c>
      <c r="F37" s="13">
        <f>C37/4</f>
        <v>0</v>
      </c>
      <c r="G37" s="60">
        <v>0.33300000000000002</v>
      </c>
      <c r="H37" s="13">
        <f>CEILING(B37*G37,1)</f>
        <v>0</v>
      </c>
      <c r="I37" s="13">
        <f>C37/4</f>
        <v>0</v>
      </c>
      <c r="J37" s="60">
        <v>0.29099999999999998</v>
      </c>
      <c r="K37" s="13">
        <f>CEILING(B37*J37,1)</f>
        <v>0</v>
      </c>
      <c r="L37" s="13">
        <f>C37/4</f>
        <v>0</v>
      </c>
      <c r="M37" s="60">
        <v>0.16600000000000001</v>
      </c>
      <c r="N37" s="13">
        <f>CEILING(B37*M37,1)</f>
        <v>0</v>
      </c>
      <c r="O37" s="13">
        <f>C37/4</f>
        <v>0</v>
      </c>
      <c r="P37" s="57">
        <f>E37+H37+K37+N37</f>
        <v>0</v>
      </c>
      <c r="Q37" s="58"/>
    </row>
    <row r="38" spans="1:17" s="15" customFormat="1" x14ac:dyDescent="0.25">
      <c r="A38" s="13">
        <v>2</v>
      </c>
      <c r="B38" s="59">
        <v>4</v>
      </c>
      <c r="C38" s="59">
        <v>0</v>
      </c>
      <c r="D38" s="60">
        <v>0.20799999999999999</v>
      </c>
      <c r="E38" s="13">
        <f t="shared" ref="E38:E57" si="1">CEILING(B38*D38,1)</f>
        <v>1</v>
      </c>
      <c r="F38" s="13">
        <f t="shared" ref="F38:F57" si="2">C38/4</f>
        <v>0</v>
      </c>
      <c r="G38" s="60">
        <v>0.33300000000000002</v>
      </c>
      <c r="H38" s="13">
        <f t="shared" ref="H38:H57" si="3">CEILING(B38*G38,1)</f>
        <v>2</v>
      </c>
      <c r="I38" s="13">
        <f t="shared" ref="I38:I57" si="4">C38/4</f>
        <v>0</v>
      </c>
      <c r="J38" s="60">
        <v>0.29099999999999998</v>
      </c>
      <c r="K38" s="13">
        <f t="shared" ref="K38:K57" si="5">CEILING(B38*J38,1)</f>
        <v>2</v>
      </c>
      <c r="L38" s="13">
        <f t="shared" ref="L38:L57" si="6">C38/4</f>
        <v>0</v>
      </c>
      <c r="M38" s="60">
        <v>0.16600000000000001</v>
      </c>
      <c r="N38" s="13">
        <f t="shared" ref="N38:N57" si="7">CEILING(B38*M38,1)</f>
        <v>1</v>
      </c>
      <c r="O38" s="13">
        <f t="shared" ref="O38:O57" si="8">C38/4</f>
        <v>0</v>
      </c>
      <c r="P38" s="57">
        <f t="shared" ref="P38:P57" si="9">E38+H38+K38+N38</f>
        <v>6</v>
      </c>
      <c r="Q38" s="58"/>
    </row>
    <row r="39" spans="1:17" s="15" customFormat="1" x14ac:dyDescent="0.25">
      <c r="A39" s="13">
        <v>3</v>
      </c>
      <c r="B39" s="59">
        <v>8</v>
      </c>
      <c r="C39" s="59">
        <v>0</v>
      </c>
      <c r="D39" s="60">
        <v>0.20799999999999999</v>
      </c>
      <c r="E39" s="13">
        <f t="shared" si="1"/>
        <v>2</v>
      </c>
      <c r="F39" s="13">
        <f t="shared" si="2"/>
        <v>0</v>
      </c>
      <c r="G39" s="60">
        <v>0.33300000000000002</v>
      </c>
      <c r="H39" s="13">
        <f t="shared" si="3"/>
        <v>3</v>
      </c>
      <c r="I39" s="13">
        <f t="shared" si="4"/>
        <v>0</v>
      </c>
      <c r="J39" s="60">
        <v>0.29099999999999998</v>
      </c>
      <c r="K39" s="13">
        <f t="shared" si="5"/>
        <v>3</v>
      </c>
      <c r="L39" s="13">
        <f t="shared" si="6"/>
        <v>0</v>
      </c>
      <c r="M39" s="60">
        <v>0.16600000000000001</v>
      </c>
      <c r="N39" s="13">
        <f t="shared" si="7"/>
        <v>2</v>
      </c>
      <c r="O39" s="13">
        <f t="shared" si="8"/>
        <v>0</v>
      </c>
      <c r="P39" s="57">
        <f t="shared" si="9"/>
        <v>10</v>
      </c>
      <c r="Q39" s="58"/>
    </row>
    <row r="40" spans="1:17" s="15" customFormat="1" x14ac:dyDescent="0.25">
      <c r="A40" s="13">
        <v>4</v>
      </c>
      <c r="B40" s="59">
        <v>8</v>
      </c>
      <c r="C40" s="59">
        <v>4</v>
      </c>
      <c r="D40" s="60">
        <v>0.20799999999999999</v>
      </c>
      <c r="E40" s="13">
        <f t="shared" si="1"/>
        <v>2</v>
      </c>
      <c r="F40" s="13">
        <f t="shared" si="2"/>
        <v>1</v>
      </c>
      <c r="G40" s="60">
        <v>0.33300000000000002</v>
      </c>
      <c r="H40" s="13">
        <f t="shared" si="3"/>
        <v>3</v>
      </c>
      <c r="I40" s="13">
        <f t="shared" si="4"/>
        <v>1</v>
      </c>
      <c r="J40" s="60">
        <v>0.29099999999999998</v>
      </c>
      <c r="K40" s="13">
        <f t="shared" si="5"/>
        <v>3</v>
      </c>
      <c r="L40" s="13">
        <f t="shared" si="6"/>
        <v>1</v>
      </c>
      <c r="M40" s="60">
        <v>0.16600000000000001</v>
      </c>
      <c r="N40" s="13">
        <f t="shared" si="7"/>
        <v>2</v>
      </c>
      <c r="O40" s="13">
        <f t="shared" si="8"/>
        <v>1</v>
      </c>
      <c r="P40" s="57">
        <f t="shared" si="9"/>
        <v>10</v>
      </c>
      <c r="Q40" s="58"/>
    </row>
    <row r="41" spans="1:17" s="15" customFormat="1" x14ac:dyDescent="0.25">
      <c r="A41" s="13">
        <v>5</v>
      </c>
      <c r="B41" s="59">
        <v>12</v>
      </c>
      <c r="C41" s="59">
        <v>4</v>
      </c>
      <c r="D41" s="60">
        <v>0.20799999999999999</v>
      </c>
      <c r="E41" s="13">
        <f t="shared" si="1"/>
        <v>3</v>
      </c>
      <c r="F41" s="13">
        <f t="shared" si="2"/>
        <v>1</v>
      </c>
      <c r="G41" s="60">
        <v>0.33300000000000002</v>
      </c>
      <c r="H41" s="13">
        <f t="shared" si="3"/>
        <v>4</v>
      </c>
      <c r="I41" s="13">
        <f t="shared" si="4"/>
        <v>1</v>
      </c>
      <c r="J41" s="60">
        <v>0.29099999999999998</v>
      </c>
      <c r="K41" s="13">
        <f t="shared" si="5"/>
        <v>4</v>
      </c>
      <c r="L41" s="13">
        <f t="shared" si="6"/>
        <v>1</v>
      </c>
      <c r="M41" s="60">
        <v>0.16600000000000001</v>
      </c>
      <c r="N41" s="13">
        <f t="shared" si="7"/>
        <v>2</v>
      </c>
      <c r="O41" s="13">
        <f t="shared" si="8"/>
        <v>1</v>
      </c>
      <c r="P41" s="57">
        <f t="shared" si="9"/>
        <v>13</v>
      </c>
      <c r="Q41" s="58"/>
    </row>
    <row r="42" spans="1:17" s="15" customFormat="1" x14ac:dyDescent="0.25">
      <c r="A42" s="13">
        <v>6</v>
      </c>
      <c r="B42" s="59">
        <v>16</v>
      </c>
      <c r="C42" s="59">
        <v>4</v>
      </c>
      <c r="D42" s="60">
        <v>0.20799999999999999</v>
      </c>
      <c r="E42" s="13">
        <f t="shared" si="1"/>
        <v>4</v>
      </c>
      <c r="F42" s="13">
        <f t="shared" si="2"/>
        <v>1</v>
      </c>
      <c r="G42" s="60">
        <v>0.33300000000000002</v>
      </c>
      <c r="H42" s="13">
        <f t="shared" si="3"/>
        <v>6</v>
      </c>
      <c r="I42" s="13">
        <f t="shared" si="4"/>
        <v>1</v>
      </c>
      <c r="J42" s="60">
        <v>0.29099999999999998</v>
      </c>
      <c r="K42" s="13">
        <f t="shared" si="5"/>
        <v>5</v>
      </c>
      <c r="L42" s="13">
        <f t="shared" si="6"/>
        <v>1</v>
      </c>
      <c r="M42" s="60">
        <v>0.16600000000000001</v>
      </c>
      <c r="N42" s="13">
        <f t="shared" si="7"/>
        <v>3</v>
      </c>
      <c r="O42" s="13">
        <f t="shared" si="8"/>
        <v>1</v>
      </c>
      <c r="P42" s="57">
        <f t="shared" si="9"/>
        <v>18</v>
      </c>
      <c r="Q42" s="58"/>
    </row>
    <row r="43" spans="1:17" s="15" customFormat="1" x14ac:dyDescent="0.25">
      <c r="A43" s="13">
        <v>7</v>
      </c>
      <c r="B43" s="59">
        <v>16</v>
      </c>
      <c r="C43" s="59">
        <v>8</v>
      </c>
      <c r="D43" s="60">
        <v>0.20799999999999999</v>
      </c>
      <c r="E43" s="13">
        <f t="shared" si="1"/>
        <v>4</v>
      </c>
      <c r="F43" s="13">
        <f t="shared" si="2"/>
        <v>2</v>
      </c>
      <c r="G43" s="60">
        <v>0.33300000000000002</v>
      </c>
      <c r="H43" s="13">
        <f t="shared" si="3"/>
        <v>6</v>
      </c>
      <c r="I43" s="13">
        <f t="shared" si="4"/>
        <v>2</v>
      </c>
      <c r="J43" s="60">
        <v>0.29099999999999998</v>
      </c>
      <c r="K43" s="13">
        <f t="shared" si="5"/>
        <v>5</v>
      </c>
      <c r="L43" s="13">
        <f t="shared" si="6"/>
        <v>2</v>
      </c>
      <c r="M43" s="60">
        <v>0.16600000000000001</v>
      </c>
      <c r="N43" s="13">
        <f t="shared" si="7"/>
        <v>3</v>
      </c>
      <c r="O43" s="13">
        <f t="shared" si="8"/>
        <v>2</v>
      </c>
      <c r="P43" s="57">
        <f t="shared" si="9"/>
        <v>18</v>
      </c>
      <c r="Q43" s="58"/>
    </row>
    <row r="44" spans="1:17" s="15" customFormat="1" x14ac:dyDescent="0.25">
      <c r="A44" s="13">
        <v>8</v>
      </c>
      <c r="B44" s="59">
        <v>20</v>
      </c>
      <c r="C44" s="59">
        <v>8</v>
      </c>
      <c r="D44" s="60">
        <v>0.20799999999999999</v>
      </c>
      <c r="E44" s="13">
        <f t="shared" si="1"/>
        <v>5</v>
      </c>
      <c r="F44" s="13">
        <f t="shared" si="2"/>
        <v>2</v>
      </c>
      <c r="G44" s="60">
        <v>0.33300000000000002</v>
      </c>
      <c r="H44" s="13">
        <f t="shared" si="3"/>
        <v>7</v>
      </c>
      <c r="I44" s="13">
        <f t="shared" si="4"/>
        <v>2</v>
      </c>
      <c r="J44" s="60">
        <v>0.29099999999999998</v>
      </c>
      <c r="K44" s="13">
        <f t="shared" si="5"/>
        <v>6</v>
      </c>
      <c r="L44" s="13">
        <f t="shared" si="6"/>
        <v>2</v>
      </c>
      <c r="M44" s="60">
        <v>0.16600000000000001</v>
      </c>
      <c r="N44" s="13">
        <f t="shared" si="7"/>
        <v>4</v>
      </c>
      <c r="O44" s="13">
        <f t="shared" si="8"/>
        <v>2</v>
      </c>
      <c r="P44" s="57">
        <f t="shared" si="9"/>
        <v>22</v>
      </c>
      <c r="Q44" s="58"/>
    </row>
    <row r="45" spans="1:17" s="18" customFormat="1" x14ac:dyDescent="0.25">
      <c r="A45" s="16">
        <v>9</v>
      </c>
      <c r="B45" s="61">
        <v>24</v>
      </c>
      <c r="C45" s="61">
        <v>8</v>
      </c>
      <c r="D45" s="62">
        <v>0.20799999999999999</v>
      </c>
      <c r="E45" s="16">
        <f t="shared" si="1"/>
        <v>5</v>
      </c>
      <c r="F45" s="16">
        <f t="shared" si="2"/>
        <v>2</v>
      </c>
      <c r="G45" s="62">
        <v>0.33300000000000002</v>
      </c>
      <c r="H45" s="16">
        <f t="shared" si="3"/>
        <v>8</v>
      </c>
      <c r="I45" s="16">
        <f t="shared" si="4"/>
        <v>2</v>
      </c>
      <c r="J45" s="62">
        <v>0.29099999999999998</v>
      </c>
      <c r="K45" s="16">
        <f t="shared" si="5"/>
        <v>7</v>
      </c>
      <c r="L45" s="16">
        <f t="shared" si="6"/>
        <v>2</v>
      </c>
      <c r="M45" s="62">
        <v>0.16600000000000001</v>
      </c>
      <c r="N45" s="16">
        <f t="shared" si="7"/>
        <v>4</v>
      </c>
      <c r="O45" s="16">
        <f t="shared" si="8"/>
        <v>2</v>
      </c>
      <c r="P45" s="63">
        <f t="shared" si="9"/>
        <v>24</v>
      </c>
      <c r="Q45" s="64"/>
    </row>
    <row r="46" spans="1:17" s="18" customFormat="1" x14ac:dyDescent="0.25">
      <c r="A46" s="16">
        <v>10</v>
      </c>
      <c r="B46" s="61">
        <v>28</v>
      </c>
      <c r="C46" s="61">
        <v>12</v>
      </c>
      <c r="D46" s="62">
        <v>0.20799999999999999</v>
      </c>
      <c r="E46" s="16">
        <f t="shared" si="1"/>
        <v>6</v>
      </c>
      <c r="F46" s="16">
        <f t="shared" si="2"/>
        <v>3</v>
      </c>
      <c r="G46" s="62">
        <v>0.33300000000000002</v>
      </c>
      <c r="H46" s="16">
        <f t="shared" si="3"/>
        <v>10</v>
      </c>
      <c r="I46" s="16">
        <f t="shared" si="4"/>
        <v>3</v>
      </c>
      <c r="J46" s="62">
        <v>0.29099999999999998</v>
      </c>
      <c r="K46" s="16">
        <f t="shared" si="5"/>
        <v>9</v>
      </c>
      <c r="L46" s="16">
        <f t="shared" si="6"/>
        <v>3</v>
      </c>
      <c r="M46" s="62">
        <v>0.16600000000000001</v>
      </c>
      <c r="N46" s="16">
        <f t="shared" si="7"/>
        <v>5</v>
      </c>
      <c r="O46" s="16">
        <f t="shared" si="8"/>
        <v>3</v>
      </c>
      <c r="P46" s="63">
        <f t="shared" si="9"/>
        <v>30</v>
      </c>
      <c r="Q46" s="64"/>
    </row>
    <row r="47" spans="1:17" s="18" customFormat="1" x14ac:dyDescent="0.25">
      <c r="A47" s="16">
        <v>11</v>
      </c>
      <c r="B47" s="61">
        <v>32</v>
      </c>
      <c r="C47" s="61">
        <v>12</v>
      </c>
      <c r="D47" s="62">
        <v>0.20799999999999999</v>
      </c>
      <c r="E47" s="16">
        <f t="shared" si="1"/>
        <v>7</v>
      </c>
      <c r="F47" s="16">
        <f t="shared" si="2"/>
        <v>3</v>
      </c>
      <c r="G47" s="62">
        <v>0.33300000000000002</v>
      </c>
      <c r="H47" s="16">
        <f t="shared" si="3"/>
        <v>11</v>
      </c>
      <c r="I47" s="16">
        <f t="shared" si="4"/>
        <v>3</v>
      </c>
      <c r="J47" s="62">
        <v>0.29099999999999998</v>
      </c>
      <c r="K47" s="16">
        <f t="shared" si="5"/>
        <v>10</v>
      </c>
      <c r="L47" s="16">
        <f t="shared" si="6"/>
        <v>3</v>
      </c>
      <c r="M47" s="62">
        <v>0.16600000000000001</v>
      </c>
      <c r="N47" s="16">
        <f t="shared" si="7"/>
        <v>6</v>
      </c>
      <c r="O47" s="16">
        <f t="shared" si="8"/>
        <v>3</v>
      </c>
      <c r="P47" s="63">
        <f t="shared" si="9"/>
        <v>34</v>
      </c>
      <c r="Q47" s="64"/>
    </row>
    <row r="48" spans="1:17" s="18" customFormat="1" x14ac:dyDescent="0.25">
      <c r="A48" s="16">
        <v>12</v>
      </c>
      <c r="B48" s="61">
        <v>36</v>
      </c>
      <c r="C48" s="61">
        <v>12</v>
      </c>
      <c r="D48" s="62">
        <v>0.20799999999999999</v>
      </c>
      <c r="E48" s="16">
        <f t="shared" si="1"/>
        <v>8</v>
      </c>
      <c r="F48" s="16">
        <f t="shared" si="2"/>
        <v>3</v>
      </c>
      <c r="G48" s="62">
        <v>0.33300000000000002</v>
      </c>
      <c r="H48" s="16">
        <f t="shared" si="3"/>
        <v>12</v>
      </c>
      <c r="I48" s="16">
        <f t="shared" si="4"/>
        <v>3</v>
      </c>
      <c r="J48" s="62">
        <v>0.29099999999999998</v>
      </c>
      <c r="K48" s="16">
        <f t="shared" si="5"/>
        <v>11</v>
      </c>
      <c r="L48" s="16">
        <f t="shared" si="6"/>
        <v>3</v>
      </c>
      <c r="M48" s="62">
        <v>0.16600000000000001</v>
      </c>
      <c r="N48" s="16">
        <f t="shared" si="7"/>
        <v>6</v>
      </c>
      <c r="O48" s="16">
        <f t="shared" si="8"/>
        <v>3</v>
      </c>
      <c r="P48" s="63">
        <f t="shared" si="9"/>
        <v>37</v>
      </c>
      <c r="Q48" s="64"/>
    </row>
    <row r="49" spans="1:17" s="18" customFormat="1" x14ac:dyDescent="0.25">
      <c r="A49" s="16">
        <v>13</v>
      </c>
      <c r="B49" s="61">
        <v>40</v>
      </c>
      <c r="C49" s="61">
        <v>12</v>
      </c>
      <c r="D49" s="62">
        <v>0.20799999999999999</v>
      </c>
      <c r="E49" s="16">
        <f t="shared" si="1"/>
        <v>9</v>
      </c>
      <c r="F49" s="16">
        <f t="shared" si="2"/>
        <v>3</v>
      </c>
      <c r="G49" s="62">
        <v>0.33300000000000002</v>
      </c>
      <c r="H49" s="16">
        <f t="shared" si="3"/>
        <v>14</v>
      </c>
      <c r="I49" s="16">
        <f t="shared" si="4"/>
        <v>3</v>
      </c>
      <c r="J49" s="62">
        <v>0.29099999999999998</v>
      </c>
      <c r="K49" s="16">
        <f t="shared" si="5"/>
        <v>12</v>
      </c>
      <c r="L49" s="16">
        <f t="shared" si="6"/>
        <v>3</v>
      </c>
      <c r="M49" s="62">
        <v>0.16600000000000001</v>
      </c>
      <c r="N49" s="16">
        <f t="shared" si="7"/>
        <v>7</v>
      </c>
      <c r="O49" s="16">
        <f t="shared" si="8"/>
        <v>3</v>
      </c>
      <c r="P49" s="63">
        <f t="shared" si="9"/>
        <v>42</v>
      </c>
      <c r="Q49" s="64"/>
    </row>
    <row r="50" spans="1:17" s="18" customFormat="1" x14ac:dyDescent="0.25">
      <c r="A50" s="16">
        <v>14</v>
      </c>
      <c r="B50" s="61">
        <v>40</v>
      </c>
      <c r="C50" s="61">
        <v>16</v>
      </c>
      <c r="D50" s="62">
        <v>0.20799999999999999</v>
      </c>
      <c r="E50" s="16">
        <f t="shared" si="1"/>
        <v>9</v>
      </c>
      <c r="F50" s="16">
        <f t="shared" si="2"/>
        <v>4</v>
      </c>
      <c r="G50" s="62">
        <v>0.33300000000000002</v>
      </c>
      <c r="H50" s="16">
        <f t="shared" si="3"/>
        <v>14</v>
      </c>
      <c r="I50" s="16">
        <f t="shared" si="4"/>
        <v>4</v>
      </c>
      <c r="J50" s="62">
        <v>0.29099999999999998</v>
      </c>
      <c r="K50" s="16">
        <f t="shared" si="5"/>
        <v>12</v>
      </c>
      <c r="L50" s="16">
        <f t="shared" si="6"/>
        <v>4</v>
      </c>
      <c r="M50" s="62">
        <v>0.16600000000000001</v>
      </c>
      <c r="N50" s="16">
        <f t="shared" si="7"/>
        <v>7</v>
      </c>
      <c r="O50" s="16">
        <f t="shared" si="8"/>
        <v>4</v>
      </c>
      <c r="P50" s="63">
        <f t="shared" si="9"/>
        <v>42</v>
      </c>
      <c r="Q50" s="64"/>
    </row>
    <row r="51" spans="1:17" s="21" customFormat="1" x14ac:dyDescent="0.25">
      <c r="A51" s="19">
        <v>15</v>
      </c>
      <c r="B51" s="65">
        <v>44</v>
      </c>
      <c r="C51" s="65">
        <v>16</v>
      </c>
      <c r="D51" s="66">
        <v>0.20799999999999999</v>
      </c>
      <c r="E51" s="19">
        <f t="shared" si="1"/>
        <v>10</v>
      </c>
      <c r="F51" s="19">
        <f t="shared" si="2"/>
        <v>4</v>
      </c>
      <c r="G51" s="66">
        <v>0.33300000000000002</v>
      </c>
      <c r="H51" s="19">
        <f t="shared" si="3"/>
        <v>15</v>
      </c>
      <c r="I51" s="19">
        <f t="shared" si="4"/>
        <v>4</v>
      </c>
      <c r="J51" s="66">
        <v>0.29099999999999998</v>
      </c>
      <c r="K51" s="19">
        <f t="shared" si="5"/>
        <v>13</v>
      </c>
      <c r="L51" s="19">
        <f t="shared" si="6"/>
        <v>4</v>
      </c>
      <c r="M51" s="66">
        <v>0.16600000000000001</v>
      </c>
      <c r="N51" s="19">
        <f t="shared" si="7"/>
        <v>8</v>
      </c>
      <c r="O51" s="19">
        <f t="shared" si="8"/>
        <v>4</v>
      </c>
      <c r="P51" s="67">
        <f t="shared" si="9"/>
        <v>46</v>
      </c>
      <c r="Q51" s="68"/>
    </row>
    <row r="52" spans="1:17" s="21" customFormat="1" x14ac:dyDescent="0.25">
      <c r="A52" s="19">
        <v>16</v>
      </c>
      <c r="B52" s="65">
        <v>52</v>
      </c>
      <c r="C52" s="65">
        <v>20</v>
      </c>
      <c r="D52" s="66">
        <v>0.20799999999999999</v>
      </c>
      <c r="E52" s="19">
        <f t="shared" si="1"/>
        <v>11</v>
      </c>
      <c r="F52" s="19">
        <f t="shared" si="2"/>
        <v>5</v>
      </c>
      <c r="G52" s="66">
        <v>0.33300000000000002</v>
      </c>
      <c r="H52" s="19">
        <f t="shared" si="3"/>
        <v>18</v>
      </c>
      <c r="I52" s="19">
        <f t="shared" si="4"/>
        <v>5</v>
      </c>
      <c r="J52" s="66">
        <v>0.29099999999999998</v>
      </c>
      <c r="K52" s="19">
        <f t="shared" si="5"/>
        <v>16</v>
      </c>
      <c r="L52" s="19">
        <f t="shared" si="6"/>
        <v>5</v>
      </c>
      <c r="M52" s="66">
        <v>0.16600000000000001</v>
      </c>
      <c r="N52" s="19">
        <f t="shared" si="7"/>
        <v>9</v>
      </c>
      <c r="O52" s="19">
        <f t="shared" si="8"/>
        <v>5</v>
      </c>
      <c r="P52" s="67">
        <f t="shared" si="9"/>
        <v>54</v>
      </c>
      <c r="Q52" s="68"/>
    </row>
    <row r="53" spans="1:17" s="21" customFormat="1" x14ac:dyDescent="0.25">
      <c r="A53" s="19">
        <v>17</v>
      </c>
      <c r="B53" s="65">
        <v>56</v>
      </c>
      <c r="C53" s="65">
        <v>24</v>
      </c>
      <c r="D53" s="66">
        <v>0.20799999999999999</v>
      </c>
      <c r="E53" s="19">
        <f t="shared" si="1"/>
        <v>12</v>
      </c>
      <c r="F53" s="19">
        <f t="shared" si="2"/>
        <v>6</v>
      </c>
      <c r="G53" s="66">
        <v>0.33300000000000002</v>
      </c>
      <c r="H53" s="19">
        <f t="shared" si="3"/>
        <v>19</v>
      </c>
      <c r="I53" s="19">
        <f t="shared" si="4"/>
        <v>6</v>
      </c>
      <c r="J53" s="66">
        <v>0.29099999999999998</v>
      </c>
      <c r="K53" s="19">
        <f t="shared" si="5"/>
        <v>17</v>
      </c>
      <c r="L53" s="19">
        <f t="shared" si="6"/>
        <v>6</v>
      </c>
      <c r="M53" s="66">
        <v>0.16600000000000001</v>
      </c>
      <c r="N53" s="19">
        <f t="shared" si="7"/>
        <v>10</v>
      </c>
      <c r="O53" s="19">
        <f t="shared" si="8"/>
        <v>6</v>
      </c>
      <c r="P53" s="67">
        <f t="shared" si="9"/>
        <v>58</v>
      </c>
      <c r="Q53" s="68"/>
    </row>
    <row r="54" spans="1:17" s="24" customFormat="1" x14ac:dyDescent="0.25">
      <c r="A54" s="22">
        <v>18</v>
      </c>
      <c r="B54" s="69">
        <v>60</v>
      </c>
      <c r="C54" s="69">
        <v>28</v>
      </c>
      <c r="D54" s="70">
        <v>0.20799999999999999</v>
      </c>
      <c r="E54" s="22">
        <f t="shared" si="1"/>
        <v>13</v>
      </c>
      <c r="F54" s="22">
        <f t="shared" si="2"/>
        <v>7</v>
      </c>
      <c r="G54" s="70">
        <v>0.33300000000000002</v>
      </c>
      <c r="H54" s="22">
        <f t="shared" si="3"/>
        <v>20</v>
      </c>
      <c r="I54" s="22">
        <f t="shared" si="4"/>
        <v>7</v>
      </c>
      <c r="J54" s="70">
        <v>0.29099999999999998</v>
      </c>
      <c r="K54" s="22">
        <f t="shared" si="5"/>
        <v>18</v>
      </c>
      <c r="L54" s="22">
        <f t="shared" si="6"/>
        <v>7</v>
      </c>
      <c r="M54" s="70">
        <v>0.16600000000000001</v>
      </c>
      <c r="N54" s="22">
        <f t="shared" si="7"/>
        <v>10</v>
      </c>
      <c r="O54" s="22">
        <f t="shared" si="8"/>
        <v>7</v>
      </c>
      <c r="P54" s="71">
        <f t="shared" si="9"/>
        <v>61</v>
      </c>
      <c r="Q54" s="72"/>
    </row>
    <row r="55" spans="1:17" s="24" customFormat="1" x14ac:dyDescent="0.25">
      <c r="A55" s="22">
        <v>19</v>
      </c>
      <c r="B55" s="69">
        <v>64</v>
      </c>
      <c r="C55" s="69">
        <v>32</v>
      </c>
      <c r="D55" s="70">
        <v>0.20799999999999999</v>
      </c>
      <c r="E55" s="22">
        <f t="shared" si="1"/>
        <v>14</v>
      </c>
      <c r="F55" s="22">
        <f t="shared" si="2"/>
        <v>8</v>
      </c>
      <c r="G55" s="70">
        <v>0.33300000000000002</v>
      </c>
      <c r="H55" s="22">
        <f t="shared" si="3"/>
        <v>22</v>
      </c>
      <c r="I55" s="22">
        <f t="shared" si="4"/>
        <v>8</v>
      </c>
      <c r="J55" s="70">
        <v>0.29099999999999998</v>
      </c>
      <c r="K55" s="22">
        <f t="shared" si="5"/>
        <v>19</v>
      </c>
      <c r="L55" s="22">
        <f t="shared" si="6"/>
        <v>8</v>
      </c>
      <c r="M55" s="70">
        <v>0.16600000000000001</v>
      </c>
      <c r="N55" s="22">
        <f t="shared" si="7"/>
        <v>11</v>
      </c>
      <c r="O55" s="22">
        <f t="shared" si="8"/>
        <v>8</v>
      </c>
      <c r="P55" s="71">
        <f t="shared" si="9"/>
        <v>66</v>
      </c>
      <c r="Q55" s="72"/>
    </row>
    <row r="56" spans="1:17" s="24" customFormat="1" x14ac:dyDescent="0.25">
      <c r="A56" s="22">
        <v>20</v>
      </c>
      <c r="B56" s="69">
        <v>68</v>
      </c>
      <c r="C56" s="69">
        <v>36</v>
      </c>
      <c r="D56" s="70">
        <v>0.20799999999999999</v>
      </c>
      <c r="E56" s="22">
        <f t="shared" si="1"/>
        <v>15</v>
      </c>
      <c r="F56" s="22">
        <f t="shared" si="2"/>
        <v>9</v>
      </c>
      <c r="G56" s="70">
        <v>0.33300000000000002</v>
      </c>
      <c r="H56" s="22">
        <f t="shared" si="3"/>
        <v>23</v>
      </c>
      <c r="I56" s="22">
        <f t="shared" si="4"/>
        <v>9</v>
      </c>
      <c r="J56" s="70">
        <v>0.29099999999999998</v>
      </c>
      <c r="K56" s="22">
        <f t="shared" si="5"/>
        <v>20</v>
      </c>
      <c r="L56" s="22">
        <f t="shared" si="6"/>
        <v>9</v>
      </c>
      <c r="M56" s="70">
        <v>0.16600000000000001</v>
      </c>
      <c r="N56" s="22">
        <f t="shared" si="7"/>
        <v>12</v>
      </c>
      <c r="O56" s="22">
        <f t="shared" si="8"/>
        <v>9</v>
      </c>
      <c r="P56" s="71">
        <f t="shared" si="9"/>
        <v>70</v>
      </c>
      <c r="Q56" s="72"/>
    </row>
    <row r="57" spans="1:17" s="24" customFormat="1" x14ac:dyDescent="0.25">
      <c r="A57" s="22">
        <v>21</v>
      </c>
      <c r="B57" s="69">
        <v>72</v>
      </c>
      <c r="C57" s="69">
        <v>40</v>
      </c>
      <c r="D57" s="70">
        <v>0.20799999999999999</v>
      </c>
      <c r="E57" s="22">
        <f t="shared" si="1"/>
        <v>15</v>
      </c>
      <c r="F57" s="22">
        <f t="shared" si="2"/>
        <v>10</v>
      </c>
      <c r="G57" s="70">
        <v>0.33300000000000002</v>
      </c>
      <c r="H57" s="22">
        <f t="shared" si="3"/>
        <v>24</v>
      </c>
      <c r="I57" s="22">
        <f t="shared" si="4"/>
        <v>10</v>
      </c>
      <c r="J57" s="70">
        <v>0.29099999999999998</v>
      </c>
      <c r="K57" s="22">
        <f t="shared" si="5"/>
        <v>21</v>
      </c>
      <c r="L57" s="22">
        <f t="shared" si="6"/>
        <v>10</v>
      </c>
      <c r="M57" s="70">
        <v>0.16600000000000001</v>
      </c>
      <c r="N57" s="22">
        <f t="shared" si="7"/>
        <v>12</v>
      </c>
      <c r="O57" s="22">
        <f t="shared" si="8"/>
        <v>10</v>
      </c>
      <c r="P57" s="71">
        <f t="shared" si="9"/>
        <v>72</v>
      </c>
      <c r="Q57" s="72"/>
    </row>
    <row r="82" spans="1:12" x14ac:dyDescent="0.25">
      <c r="A82" s="39" t="s">
        <v>25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x14ac:dyDescent="0.25">
      <c r="A83" s="55" t="s">
        <v>70</v>
      </c>
      <c r="B83" s="55"/>
      <c r="C83" s="55"/>
      <c r="D83" s="55"/>
      <c r="E83" s="55"/>
      <c r="F83" s="55"/>
      <c r="G83" s="55"/>
      <c r="H83" s="40" t="s">
        <v>27</v>
      </c>
      <c r="I83" s="40"/>
      <c r="J83" s="40"/>
      <c r="K83" s="3" t="s">
        <v>4</v>
      </c>
      <c r="L83" s="3" t="s">
        <v>55</v>
      </c>
    </row>
    <row r="84" spans="1:12" x14ac:dyDescent="0.25">
      <c r="A84" s="3" t="s">
        <v>71</v>
      </c>
      <c r="B84" s="3" t="s">
        <v>72</v>
      </c>
      <c r="C84" s="3" t="s">
        <v>73</v>
      </c>
      <c r="D84" s="3" t="s">
        <v>74</v>
      </c>
      <c r="E84" s="3" t="s">
        <v>74</v>
      </c>
      <c r="F84" s="3" t="s">
        <v>75</v>
      </c>
      <c r="G84" s="6" t="s">
        <v>76</v>
      </c>
      <c r="H84" s="3" t="s">
        <v>52</v>
      </c>
      <c r="I84" s="3" t="s">
        <v>54</v>
      </c>
      <c r="J84" s="3" t="s">
        <v>22</v>
      </c>
      <c r="K84" s="36">
        <v>2</v>
      </c>
      <c r="L84" s="36">
        <f>I85*(H85-K84)</f>
        <v>0</v>
      </c>
    </row>
    <row r="85" spans="1:12" x14ac:dyDescent="0.25">
      <c r="A85" s="3" t="s">
        <v>42</v>
      </c>
      <c r="B85" s="3"/>
      <c r="C85" s="3"/>
      <c r="D85" s="3"/>
      <c r="E85" s="3"/>
      <c r="F85" s="3"/>
      <c r="G85" s="36"/>
      <c r="H85" s="36"/>
      <c r="I85" s="36"/>
      <c r="J85" s="38"/>
      <c r="K85" s="38"/>
      <c r="L85" s="38"/>
    </row>
    <row r="86" spans="1:12" x14ac:dyDescent="0.25">
      <c r="A86" s="3" t="s">
        <v>43</v>
      </c>
      <c r="B86" s="3"/>
      <c r="C86" s="3"/>
      <c r="D86" s="3"/>
      <c r="E86" s="3"/>
      <c r="F86" s="3"/>
      <c r="G86" s="37"/>
      <c r="H86" s="37"/>
      <c r="I86" s="37"/>
      <c r="J86" s="54"/>
      <c r="K86" s="36">
        <v>10</v>
      </c>
      <c r="L86" s="36">
        <f>I85*(H85-K86)</f>
        <v>0</v>
      </c>
    </row>
    <row r="87" spans="1:12" x14ac:dyDescent="0.25">
      <c r="A87" s="3" t="s">
        <v>44</v>
      </c>
      <c r="B87" s="3"/>
      <c r="C87" s="3"/>
      <c r="D87" s="3"/>
      <c r="E87" s="3"/>
      <c r="F87" s="3"/>
      <c r="G87" s="37"/>
      <c r="H87" s="37"/>
      <c r="I87" s="37"/>
      <c r="J87" s="54"/>
      <c r="K87" s="38"/>
      <c r="L87" s="38"/>
    </row>
    <row r="88" spans="1:12" x14ac:dyDescent="0.25">
      <c r="A88" s="3" t="s">
        <v>45</v>
      </c>
      <c r="B88" s="3"/>
      <c r="C88" s="3"/>
      <c r="D88" s="3"/>
      <c r="E88" s="3"/>
      <c r="F88" s="3"/>
      <c r="G88" s="37"/>
      <c r="H88" s="37"/>
      <c r="I88" s="37"/>
      <c r="J88" s="54"/>
      <c r="K88" s="36">
        <v>25</v>
      </c>
      <c r="L88" s="36">
        <f>I85*(H85-K88)</f>
        <v>0</v>
      </c>
    </row>
    <row r="89" spans="1:12" x14ac:dyDescent="0.25">
      <c r="A89" s="3" t="s">
        <v>46</v>
      </c>
      <c r="B89" s="3"/>
      <c r="C89" s="3"/>
      <c r="D89" s="3"/>
      <c r="E89" s="3"/>
      <c r="F89" s="3"/>
      <c r="G89" s="37"/>
      <c r="H89" s="37"/>
      <c r="I89" s="37"/>
      <c r="J89" s="54"/>
      <c r="K89" s="38"/>
      <c r="L89" s="38"/>
    </row>
    <row r="90" spans="1:12" x14ac:dyDescent="0.25">
      <c r="A90" s="3" t="s">
        <v>47</v>
      </c>
      <c r="B90" s="3"/>
      <c r="C90" s="3"/>
      <c r="D90" s="3"/>
      <c r="E90" s="3"/>
      <c r="F90" s="3"/>
      <c r="G90" s="37"/>
      <c r="H90" s="37"/>
      <c r="I90" s="37"/>
      <c r="J90" s="54"/>
      <c r="K90" s="36">
        <v>100</v>
      </c>
      <c r="L90" s="36">
        <f>I85*(H85-K90)</f>
        <v>0</v>
      </c>
    </row>
    <row r="91" spans="1:12" x14ac:dyDescent="0.25">
      <c r="A91" s="3" t="s">
        <v>48</v>
      </c>
      <c r="B91" s="3"/>
      <c r="C91" s="3"/>
      <c r="D91" s="3"/>
      <c r="E91" s="3"/>
      <c r="F91" s="3"/>
      <c r="G91" s="37"/>
      <c r="H91" s="37"/>
      <c r="I91" s="37"/>
      <c r="J91" s="54"/>
      <c r="K91" s="38"/>
      <c r="L91" s="38"/>
    </row>
    <row r="92" spans="1:12" x14ac:dyDescent="0.25">
      <c r="A92" s="3" t="s">
        <v>49</v>
      </c>
      <c r="B92" s="3"/>
      <c r="C92" s="3"/>
      <c r="D92" s="3"/>
      <c r="E92" s="3"/>
      <c r="F92" s="3"/>
      <c r="G92" s="37"/>
      <c r="H92" s="37"/>
      <c r="I92" s="37"/>
      <c r="J92" s="54"/>
      <c r="K92" s="36">
        <v>200</v>
      </c>
      <c r="L92" s="36">
        <f>I85*(H85-K92)</f>
        <v>0</v>
      </c>
    </row>
    <row r="93" spans="1:12" x14ac:dyDescent="0.25">
      <c r="A93" s="3" t="s">
        <v>39</v>
      </c>
      <c r="B93" s="3"/>
      <c r="C93" s="3"/>
      <c r="D93" s="3"/>
      <c r="E93" s="3"/>
      <c r="F93" s="3"/>
      <c r="G93" s="38"/>
      <c r="H93" s="38"/>
      <c r="I93" s="38"/>
      <c r="J93" s="54"/>
      <c r="K93" s="38"/>
      <c r="L93" s="38"/>
    </row>
  </sheetData>
  <mergeCells count="65">
    <mergeCell ref="A1:N1"/>
    <mergeCell ref="A2:G2"/>
    <mergeCell ref="H2:J2"/>
    <mergeCell ref="K2:N2"/>
    <mergeCell ref="A3:F3"/>
    <mergeCell ref="A7:E7"/>
    <mergeCell ref="F7:J7"/>
    <mergeCell ref="K7:L7"/>
    <mergeCell ref="M7:R7"/>
    <mergeCell ref="A32:M32"/>
    <mergeCell ref="A33:E33"/>
    <mergeCell ref="F33:H33"/>
    <mergeCell ref="I33:M33"/>
    <mergeCell ref="A34:C34"/>
    <mergeCell ref="D35:F35"/>
    <mergeCell ref="G35:I35"/>
    <mergeCell ref="J35:L35"/>
    <mergeCell ref="M35:O35"/>
    <mergeCell ref="P37:Q37"/>
    <mergeCell ref="P38:Q38"/>
    <mergeCell ref="P39:Q39"/>
    <mergeCell ref="P40:Q40"/>
    <mergeCell ref="P41:Q41"/>
    <mergeCell ref="P50:Q50"/>
    <mergeCell ref="P51:Q51"/>
    <mergeCell ref="P42:Q42"/>
    <mergeCell ref="P43:Q43"/>
    <mergeCell ref="P44:Q44"/>
    <mergeCell ref="P45:Q45"/>
    <mergeCell ref="P46:Q46"/>
    <mergeCell ref="P57:Q57"/>
    <mergeCell ref="A82:L82"/>
    <mergeCell ref="A83:G83"/>
    <mergeCell ref="H83:J83"/>
    <mergeCell ref="A35:A36"/>
    <mergeCell ref="B35:B36"/>
    <mergeCell ref="C35:C36"/>
    <mergeCell ref="P35:Q36"/>
    <mergeCell ref="P52:Q52"/>
    <mergeCell ref="P53:Q53"/>
    <mergeCell ref="P54:Q54"/>
    <mergeCell ref="P55:Q55"/>
    <mergeCell ref="P56:Q56"/>
    <mergeCell ref="P47:Q47"/>
    <mergeCell ref="P48:Q48"/>
    <mergeCell ref="P49:Q49"/>
    <mergeCell ref="G85:G93"/>
    <mergeCell ref="H85:H93"/>
    <mergeCell ref="I85:I93"/>
    <mergeCell ref="J85:J93"/>
    <mergeCell ref="K84:K85"/>
    <mergeCell ref="K86:K87"/>
    <mergeCell ref="K88:K89"/>
    <mergeCell ref="K90:K91"/>
    <mergeCell ref="K92:K93"/>
    <mergeCell ref="L84:L85"/>
    <mergeCell ref="L86:L87"/>
    <mergeCell ref="L88:L89"/>
    <mergeCell ref="L90:L91"/>
    <mergeCell ref="L92:L93"/>
    <mergeCell ref="S9:S11"/>
    <mergeCell ref="S12:S16"/>
    <mergeCell ref="S17:S22"/>
    <mergeCell ref="S23:S25"/>
    <mergeCell ref="S26:S29"/>
  </mergeCells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"/>
  <sheetViews>
    <sheetView workbookViewId="0"/>
  </sheetViews>
  <sheetFormatPr defaultColWidth="9" defaultRowHeight="14" x14ac:dyDescent="0.25"/>
  <sheetData>
    <row r="2" spans="1:1" x14ac:dyDescent="0.25">
      <c r="A2" t="s">
        <v>77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伤害计算</vt:lpstr>
      <vt:lpstr>数值投放</vt:lpstr>
      <vt:lpstr>材料数值</vt:lpstr>
      <vt:lpstr>角色属性构成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 Tonywww</cp:lastModifiedBy>
  <dcterms:created xsi:type="dcterms:W3CDTF">2023-05-12T11:15:00Z</dcterms:created>
  <dcterms:modified xsi:type="dcterms:W3CDTF">2025-05-25T02:11:09Z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959EB58CF5724AE394FA4858F282CC6F_12</vt:lpwstr>
  </property>
</Properties>
</file>