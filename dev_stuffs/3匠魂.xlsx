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730"/>
  <workbookPr/>
  <mc:AlternateContent xmlns:mc="http://schemas.openxmlformats.org/markup-compatibility/2006">
    <mc:Choice Requires="x15">
      <x15ac:absPath xmlns:x15ac="http://schemas.microsoft.com/office/spreadsheetml/2010/11/ac" url="C:\Users\Tony\Documents\EX\HMCL\.minecraft\versions\Palmon\dev_stuffs\"/>
    </mc:Choice>
  </mc:AlternateContent>
  <xr:revisionPtr revIDLastSave="0" documentId="13_ncr:1_{0523A407-1592-4B98-9E7E-A90FFB3AFDFB}" xr6:coauthVersionLast="47" xr6:coauthVersionMax="47" xr10:uidLastSave="{00000000-0000-0000-0000-000000000000}"/>
  <bookViews>
    <workbookView xWindow="7860" yWindow="4515" windowWidth="23940" windowHeight="15435" xr2:uid="{00000000-000D-0000-FFFF-FFFF00000000}"/>
  </bookViews>
  <sheets>
    <sheet name="阶段1" sheetId="1" r:id="rId1"/>
    <sheet name="阶段2" sheetId="2" r:id="rId2"/>
    <sheet name="阶段3" sheetId="8" r:id="rId3"/>
    <sheet name="阶段4" sheetId="9" r:id="rId4"/>
    <sheet name="阶段5" sheetId="10" r:id="rId5"/>
    <sheet name="阶段EX" sheetId="11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40" i="2" l="1"/>
  <c r="P40" i="2"/>
  <c r="O40" i="2"/>
  <c r="N40" i="2"/>
  <c r="M40" i="2"/>
  <c r="L40" i="2"/>
  <c r="K40" i="2"/>
  <c r="J40" i="2"/>
  <c r="I40" i="2"/>
  <c r="H40" i="2"/>
  <c r="G40" i="2"/>
  <c r="F40" i="2"/>
  <c r="E40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Q26" i="2"/>
  <c r="Q21" i="2" s="1"/>
  <c r="P26" i="2"/>
  <c r="P21" i="2" s="1"/>
  <c r="O26" i="2"/>
  <c r="N26" i="2"/>
  <c r="M26" i="2"/>
  <c r="L26" i="2"/>
  <c r="K26" i="2"/>
  <c r="J26" i="2"/>
  <c r="I26" i="2"/>
  <c r="H26" i="2"/>
  <c r="G26" i="2"/>
  <c r="F26" i="2"/>
  <c r="E26" i="2"/>
  <c r="O21" i="2"/>
  <c r="N21" i="2"/>
  <c r="M21" i="2"/>
  <c r="L21" i="2"/>
  <c r="K21" i="2"/>
  <c r="J21" i="2"/>
  <c r="I21" i="2"/>
  <c r="H21" i="2"/>
  <c r="G21" i="2"/>
  <c r="F21" i="2"/>
  <c r="E21" i="2"/>
  <c r="D40" i="2"/>
  <c r="D36" i="2"/>
  <c r="D31" i="2"/>
  <c r="D21" i="2"/>
  <c r="D26" i="2"/>
  <c r="M36" i="1"/>
  <c r="L36" i="1"/>
  <c r="K36" i="1"/>
  <c r="J36" i="1"/>
  <c r="G36" i="1"/>
  <c r="F36" i="1"/>
  <c r="E36" i="1"/>
  <c r="D36" i="1"/>
  <c r="M21" i="1"/>
  <c r="L21" i="1"/>
  <c r="K21" i="1"/>
  <c r="J21" i="1"/>
  <c r="G21" i="1"/>
  <c r="F21" i="1"/>
  <c r="E21" i="1"/>
  <c r="D21" i="1"/>
  <c r="M40" i="1"/>
  <c r="L40" i="1"/>
  <c r="K40" i="1"/>
  <c r="J40" i="1"/>
  <c r="I40" i="1"/>
  <c r="H40" i="1"/>
  <c r="G40" i="1"/>
  <c r="F40" i="1"/>
  <c r="E40" i="1"/>
  <c r="D40" i="1"/>
  <c r="M31" i="1"/>
  <c r="L31" i="1"/>
  <c r="K31" i="1"/>
  <c r="J31" i="1"/>
  <c r="G31" i="1"/>
  <c r="F31" i="1"/>
  <c r="E31" i="1"/>
  <c r="D31" i="1"/>
  <c r="M26" i="1"/>
  <c r="L26" i="1"/>
  <c r="K26" i="1"/>
  <c r="J26" i="1"/>
  <c r="I26" i="1"/>
  <c r="I36" i="1" s="1"/>
  <c r="H26" i="1"/>
  <c r="H36" i="1" s="1"/>
  <c r="G26" i="1"/>
  <c r="F26" i="1"/>
  <c r="E26" i="1"/>
  <c r="D26" i="1"/>
  <c r="Q49" i="11"/>
  <c r="P49" i="11"/>
  <c r="O49" i="11"/>
  <c r="N49" i="11"/>
  <c r="M49" i="11"/>
  <c r="L49" i="11"/>
  <c r="K49" i="11"/>
  <c r="J49" i="11"/>
  <c r="I49" i="11"/>
  <c r="H49" i="11"/>
  <c r="G49" i="11"/>
  <c r="F49" i="11"/>
  <c r="E49" i="11"/>
  <c r="D49" i="11"/>
  <c r="Q48" i="11"/>
  <c r="Q50" i="11" s="1"/>
  <c r="P48" i="11"/>
  <c r="P50" i="11" s="1"/>
  <c r="O48" i="11"/>
  <c r="O50" i="11" s="1"/>
  <c r="N48" i="11"/>
  <c r="N50" i="11" s="1"/>
  <c r="M48" i="11"/>
  <c r="M50" i="11" s="1"/>
  <c r="L48" i="11"/>
  <c r="L50" i="11" s="1"/>
  <c r="K48" i="11"/>
  <c r="K50" i="11" s="1"/>
  <c r="J48" i="11"/>
  <c r="J50" i="11" s="1"/>
  <c r="I48" i="11"/>
  <c r="I50" i="11" s="1"/>
  <c r="H48" i="11"/>
  <c r="H50" i="11" s="1"/>
  <c r="G48" i="11"/>
  <c r="G50" i="11" s="1"/>
  <c r="F48" i="11"/>
  <c r="F50" i="11" s="1"/>
  <c r="E48" i="11"/>
  <c r="E50" i="11" s="1"/>
  <c r="D48" i="11"/>
  <c r="D50" i="11" s="1"/>
  <c r="Q49" i="10"/>
  <c r="P49" i="10"/>
  <c r="O49" i="10"/>
  <c r="N49" i="10"/>
  <c r="M49" i="10"/>
  <c r="L49" i="10"/>
  <c r="K49" i="10"/>
  <c r="J49" i="10"/>
  <c r="I49" i="10"/>
  <c r="H49" i="10"/>
  <c r="G49" i="10"/>
  <c r="F49" i="10"/>
  <c r="E49" i="10"/>
  <c r="D49" i="10"/>
  <c r="Q48" i="10"/>
  <c r="Q50" i="10" s="1"/>
  <c r="P48" i="10"/>
  <c r="P50" i="10" s="1"/>
  <c r="O48" i="10"/>
  <c r="O50" i="10" s="1"/>
  <c r="N48" i="10"/>
  <c r="N50" i="10" s="1"/>
  <c r="M48" i="10"/>
  <c r="M50" i="10" s="1"/>
  <c r="L48" i="10"/>
  <c r="L50" i="10" s="1"/>
  <c r="K48" i="10"/>
  <c r="K50" i="10" s="1"/>
  <c r="J48" i="10"/>
  <c r="J50" i="10" s="1"/>
  <c r="I48" i="10"/>
  <c r="I50" i="10" s="1"/>
  <c r="H48" i="10"/>
  <c r="H50" i="10" s="1"/>
  <c r="G48" i="10"/>
  <c r="G50" i="10" s="1"/>
  <c r="F48" i="10"/>
  <c r="F50" i="10" s="1"/>
  <c r="E48" i="10"/>
  <c r="E50" i="10" s="1"/>
  <c r="D48" i="10"/>
  <c r="D50" i="10" s="1"/>
  <c r="Q49" i="9"/>
  <c r="P49" i="9"/>
  <c r="O49" i="9"/>
  <c r="N49" i="9"/>
  <c r="M49" i="9"/>
  <c r="L49" i="9"/>
  <c r="K49" i="9"/>
  <c r="J49" i="9"/>
  <c r="I49" i="9"/>
  <c r="H49" i="9"/>
  <c r="G49" i="9"/>
  <c r="F49" i="9"/>
  <c r="E49" i="9"/>
  <c r="D49" i="9"/>
  <c r="Q48" i="9"/>
  <c r="Q50" i="9" s="1"/>
  <c r="P48" i="9"/>
  <c r="P50" i="9" s="1"/>
  <c r="O48" i="9"/>
  <c r="O50" i="9" s="1"/>
  <c r="N48" i="9"/>
  <c r="N50" i="9" s="1"/>
  <c r="M48" i="9"/>
  <c r="M50" i="9" s="1"/>
  <c r="L48" i="9"/>
  <c r="L50" i="9" s="1"/>
  <c r="K48" i="9"/>
  <c r="K50" i="9" s="1"/>
  <c r="J48" i="9"/>
  <c r="J50" i="9" s="1"/>
  <c r="I48" i="9"/>
  <c r="I50" i="9" s="1"/>
  <c r="H48" i="9"/>
  <c r="H50" i="9" s="1"/>
  <c r="G48" i="9"/>
  <c r="G50" i="9" s="1"/>
  <c r="F48" i="9"/>
  <c r="F50" i="9" s="1"/>
  <c r="E48" i="9"/>
  <c r="E50" i="9" s="1"/>
  <c r="D48" i="9"/>
  <c r="D50" i="9" s="1"/>
  <c r="Q49" i="8"/>
  <c r="P49" i="8"/>
  <c r="O49" i="8"/>
  <c r="N49" i="8"/>
  <c r="M49" i="8"/>
  <c r="L49" i="8"/>
  <c r="K49" i="8"/>
  <c r="J49" i="8"/>
  <c r="I49" i="8"/>
  <c r="H49" i="8"/>
  <c r="G49" i="8"/>
  <c r="F49" i="8"/>
  <c r="E49" i="8"/>
  <c r="D49" i="8"/>
  <c r="Q48" i="8"/>
  <c r="Q50" i="8" s="1"/>
  <c r="P48" i="8"/>
  <c r="P50" i="8" s="1"/>
  <c r="O48" i="8"/>
  <c r="O50" i="8" s="1"/>
  <c r="N48" i="8"/>
  <c r="N50" i="8" s="1"/>
  <c r="M48" i="8"/>
  <c r="M50" i="8" s="1"/>
  <c r="L48" i="8"/>
  <c r="L50" i="8" s="1"/>
  <c r="K48" i="8"/>
  <c r="K50" i="8" s="1"/>
  <c r="J48" i="8"/>
  <c r="J50" i="8" s="1"/>
  <c r="I48" i="8"/>
  <c r="I50" i="8" s="1"/>
  <c r="H48" i="8"/>
  <c r="H50" i="8" s="1"/>
  <c r="G48" i="8"/>
  <c r="G50" i="8" s="1"/>
  <c r="F48" i="8"/>
  <c r="F50" i="8" s="1"/>
  <c r="E48" i="8"/>
  <c r="E50" i="8" s="1"/>
  <c r="D48" i="8"/>
  <c r="D50" i="8" s="1"/>
  <c r="Q49" i="2"/>
  <c r="P49" i="2"/>
  <c r="O49" i="2"/>
  <c r="N49" i="2"/>
  <c r="Q48" i="2"/>
  <c r="P48" i="2"/>
  <c r="O48" i="2"/>
  <c r="N48" i="2"/>
  <c r="M49" i="2"/>
  <c r="L49" i="2"/>
  <c r="K49" i="2"/>
  <c r="J49" i="2"/>
  <c r="I49" i="2"/>
  <c r="H49" i="2"/>
  <c r="G49" i="2"/>
  <c r="F49" i="2"/>
  <c r="M48" i="2"/>
  <c r="M50" i="2" s="1"/>
  <c r="L48" i="2"/>
  <c r="L50" i="2" s="1"/>
  <c r="K48" i="2"/>
  <c r="K50" i="2" s="1"/>
  <c r="J48" i="2"/>
  <c r="I48" i="2"/>
  <c r="H48" i="2"/>
  <c r="H50" i="2" s="1"/>
  <c r="G48" i="2"/>
  <c r="F48" i="2"/>
  <c r="F50" i="2" s="1"/>
  <c r="D49" i="2"/>
  <c r="D48" i="2"/>
  <c r="I31" i="1" l="1"/>
  <c r="I21" i="1"/>
  <c r="H21" i="1"/>
  <c r="H31" i="1"/>
  <c r="P50" i="2"/>
  <c r="Q50" i="2"/>
  <c r="J50" i="2"/>
  <c r="O50" i="2"/>
  <c r="D50" i="2"/>
  <c r="G50" i="2"/>
  <c r="N50" i="2"/>
  <c r="I50" i="2"/>
  <c r="M49" i="1" l="1"/>
  <c r="L49" i="1"/>
  <c r="K49" i="1"/>
  <c r="I49" i="1"/>
  <c r="H49" i="1"/>
  <c r="J49" i="1"/>
  <c r="G49" i="1"/>
  <c r="F49" i="1"/>
  <c r="M48" i="1"/>
  <c r="L48" i="1"/>
  <c r="K48" i="1"/>
  <c r="I48" i="1"/>
  <c r="H48" i="1"/>
  <c r="J48" i="1"/>
  <c r="G48" i="1"/>
  <c r="F48" i="1"/>
  <c r="E49" i="2"/>
  <c r="E48" i="2"/>
  <c r="E49" i="1"/>
  <c r="E48" i="1"/>
  <c r="D49" i="1"/>
  <c r="D48" i="1"/>
  <c r="E50" i="2" l="1"/>
  <c r="J50" i="1"/>
  <c r="H50" i="1"/>
  <c r="I50" i="1"/>
  <c r="K50" i="1"/>
  <c r="G50" i="1"/>
  <c r="F50" i="1"/>
  <c r="M50" i="1"/>
  <c r="L50" i="1"/>
  <c r="E50" i="1"/>
  <c r="D50" i="1"/>
</calcChain>
</file>

<file path=xl/sharedStrings.xml><?xml version="1.0" encoding="utf-8"?>
<sst xmlns="http://schemas.openxmlformats.org/spreadsheetml/2006/main" count="516" uniqueCount="140">
  <si>
    <t>材料名</t>
    <phoneticPr fontId="2" type="noConversion"/>
  </si>
  <si>
    <t>手柄</t>
    <phoneticPr fontId="2" type="noConversion"/>
  </si>
  <si>
    <t>耐久度%</t>
    <phoneticPr fontId="3" type="noConversion"/>
  </si>
  <si>
    <t>近战伤害%</t>
    <phoneticPr fontId="3" type="noConversion"/>
  </si>
  <si>
    <t>近战速度%</t>
    <phoneticPr fontId="3" type="noConversion"/>
  </si>
  <si>
    <t>挖掘速度%</t>
    <phoneticPr fontId="3" type="noConversion"/>
  </si>
  <si>
    <t>近战伤害+</t>
    <phoneticPr fontId="3" type="noConversion"/>
  </si>
  <si>
    <t>耐久+</t>
    <phoneticPr fontId="3" type="noConversion"/>
  </si>
  <si>
    <t>挖掘速度+</t>
    <phoneticPr fontId="3" type="noConversion"/>
  </si>
  <si>
    <t>挖掘等级</t>
    <phoneticPr fontId="3" type="noConversion"/>
  </si>
  <si>
    <t>绑定节</t>
    <phoneticPr fontId="2" type="noConversion"/>
  </si>
  <si>
    <t>是否启用</t>
    <phoneticPr fontId="2" type="noConversion"/>
  </si>
  <si>
    <t>头盔</t>
    <phoneticPr fontId="2" type="noConversion"/>
  </si>
  <si>
    <t>护甲值+</t>
    <phoneticPr fontId="3" type="noConversion"/>
  </si>
  <si>
    <t>韧性+</t>
    <phoneticPr fontId="3" type="noConversion"/>
  </si>
  <si>
    <t>击退抗性+</t>
    <phoneticPr fontId="3" type="noConversion"/>
  </si>
  <si>
    <t>胸甲</t>
    <phoneticPr fontId="2" type="noConversion"/>
  </si>
  <si>
    <t>护腿</t>
    <phoneticPr fontId="2" type="noConversion"/>
  </si>
  <si>
    <t>靴子</t>
    <phoneticPr fontId="2" type="noConversion"/>
  </si>
  <si>
    <t>盾牌</t>
    <phoneticPr fontId="2" type="noConversion"/>
  </si>
  <si>
    <t>弓臂</t>
    <phoneticPr fontId="2" type="noConversion"/>
  </si>
  <si>
    <t>初速度</t>
    <phoneticPr fontId="3" type="noConversion"/>
  </si>
  <si>
    <t>拉弓速度+</t>
    <phoneticPr fontId="3" type="noConversion"/>
  </si>
  <si>
    <t>精确度+</t>
    <phoneticPr fontId="3" type="noConversion"/>
  </si>
  <si>
    <t>工具头部</t>
    <phoneticPr fontId="2" type="noConversion"/>
  </si>
  <si>
    <t>弓把</t>
    <phoneticPr fontId="2" type="noConversion"/>
  </si>
  <si>
    <t>其他</t>
    <phoneticPr fontId="2" type="noConversion"/>
  </si>
  <si>
    <t>钻石</t>
    <phoneticPr fontId="2" type="noConversion"/>
  </si>
  <si>
    <t>护甲总计</t>
    <phoneticPr fontId="2" type="noConversion"/>
  </si>
  <si>
    <t>总护甲值</t>
    <phoneticPr fontId="3" type="noConversion"/>
  </si>
  <si>
    <t>材料词条</t>
    <phoneticPr fontId="2" type="noConversion"/>
  </si>
  <si>
    <t>黑钢</t>
  </si>
  <si>
    <t>魔灵宝石</t>
  </si>
  <si>
    <t>安山合金</t>
  </si>
  <si>
    <t>铋*</t>
  </si>
  <si>
    <t>虚金</t>
  </si>
  <si>
    <t>红钢</t>
  </si>
  <si>
    <t>蓝钢</t>
  </si>
  <si>
    <t>艾瑟</t>
  </si>
  <si>
    <t>热解石墨</t>
  </si>
  <si>
    <t>Alpha框架</t>
  </si>
  <si>
    <t>烈焰石英</t>
  </si>
  <si>
    <t>余烬晶体</t>
  </si>
  <si>
    <t>活木*</t>
  </si>
  <si>
    <t>活石*</t>
  </si>
  <si>
    <t>魔力钢*</t>
  </si>
  <si>
    <t>赛特斯*</t>
  </si>
  <si>
    <t>血曜石*</t>
  </si>
  <si>
    <t>黎明石</t>
  </si>
  <si>
    <t>福鲁伊克斯*</t>
  </si>
  <si>
    <t>狱烬下界合金*</t>
  </si>
  <si>
    <t>马玉灵*</t>
  </si>
  <si>
    <t>Beta框架</t>
  </si>
  <si>
    <t>合金巨兽锭</t>
  </si>
  <si>
    <t>泰拉*</t>
  </si>
  <si>
    <t>戴斯*</t>
  </si>
  <si>
    <t>基础板</t>
  </si>
  <si>
    <t>硼铁</t>
  </si>
  <si>
    <t>魂染钢*</t>
  </si>
  <si>
    <t>鳍</t>
  </si>
  <si>
    <t>烬钢</t>
  </si>
  <si>
    <t>谐振水晶*</t>
  </si>
  <si>
    <t>地岩信素*</t>
  </si>
  <si>
    <t>震荡流明*</t>
  </si>
  <si>
    <t>高强</t>
  </si>
  <si>
    <t>神圣金</t>
  </si>
  <si>
    <t>海王*</t>
  </si>
  <si>
    <t>钨*</t>
  </si>
  <si>
    <t>铂*</t>
  </si>
  <si>
    <t>现世合金</t>
  </si>
  <si>
    <t>极寒末影*</t>
  </si>
  <si>
    <t>裂变反应堆外壳</t>
  </si>
  <si>
    <t>铱*</t>
  </si>
  <si>
    <t>稳态戴斯</t>
  </si>
  <si>
    <t>圣魂金</t>
  </si>
  <si>
    <t>海船墓地之回响</t>
  </si>
  <si>
    <t>Gamma框架</t>
  </si>
  <si>
    <t>导热合金</t>
  </si>
  <si>
    <t>虚空石符</t>
  </si>
  <si>
    <t>深海紫水晶</t>
  </si>
  <si>
    <t>活化彩钢*</t>
  </si>
  <si>
    <t>立方氮化硼</t>
  </si>
  <si>
    <t>恶念</t>
  </si>
  <si>
    <t>异构</t>
  </si>
  <si>
    <t>紫金*</t>
  </si>
  <si>
    <t>塑料*</t>
  </si>
  <si>
    <t>源质钢</t>
  </si>
  <si>
    <t>耐热*</t>
  </si>
  <si>
    <t>精灵钢</t>
  </si>
  <si>
    <t>智能龙</t>
  </si>
  <si>
    <t>超导线圈1</t>
  </si>
  <si>
    <t>归一精华</t>
  </si>
  <si>
    <t>Delta框架</t>
  </si>
  <si>
    <t>魔王宝石</t>
  </si>
  <si>
    <t>腾炎</t>
  </si>
  <si>
    <t>终末钢</t>
  </si>
  <si>
    <t>坍缩产物</t>
  </si>
  <si>
    <t>幽匿卷须</t>
  </si>
  <si>
    <t>幽匿微光体</t>
  </si>
  <si>
    <t>虹光</t>
  </si>
  <si>
    <t>末地石（白石)*</t>
  </si>
  <si>
    <t>聚变反应堆外壳</t>
  </si>
  <si>
    <t>钛</t>
  </si>
  <si>
    <t>伏打水晶*</t>
  </si>
  <si>
    <t>幽冥混合物</t>
  </si>
  <si>
    <t>共振板</t>
  </si>
  <si>
    <t>天华锭</t>
  </si>
  <si>
    <t>天华宝石</t>
  </si>
  <si>
    <t>铌钛合金</t>
  </si>
  <si>
    <t>氦3晶体</t>
  </si>
  <si>
    <t>无夜原之光</t>
  </si>
  <si>
    <t>亚尔夫海姆之虹光</t>
  </si>
  <si>
    <t>钛钨</t>
  </si>
  <si>
    <t>钛铝</t>
  </si>
  <si>
    <t>Epsilon框架</t>
  </si>
  <si>
    <t>氦3晶体∞</t>
  </si>
  <si>
    <t>仪召珍珠</t>
  </si>
  <si>
    <t>奇点合金</t>
  </si>
  <si>
    <t>强化黑曜石*</t>
  </si>
  <si>
    <t>强化萤石*</t>
  </si>
  <si>
    <t>超致密*</t>
  </si>
  <si>
    <t>锇荧黑曜石*</t>
  </si>
  <si>
    <t>镭光*</t>
  </si>
  <si>
    <t>反物质*</t>
  </si>
  <si>
    <t>中子星*</t>
  </si>
  <si>
    <t>阶段</t>
  </si>
  <si>
    <t>阶段阶级</t>
  </si>
  <si>
    <t>1+</t>
    <phoneticPr fontId="2" type="noConversion"/>
  </si>
  <si>
    <t>2+</t>
    <phoneticPr fontId="2" type="noConversion"/>
  </si>
  <si>
    <t>3+</t>
    <phoneticPr fontId="2" type="noConversion"/>
  </si>
  <si>
    <t>总韧性</t>
    <phoneticPr fontId="3" type="noConversion"/>
  </si>
  <si>
    <t>实际护甲</t>
    <phoneticPr fontId="3" type="noConversion"/>
  </si>
  <si>
    <t>防御部件</t>
    <phoneticPr fontId="2" type="noConversion"/>
  </si>
  <si>
    <t>锁链基底</t>
    <phoneticPr fontId="2" type="noConversion"/>
  </si>
  <si>
    <t>盾牌基底</t>
    <phoneticPr fontId="2" type="noConversion"/>
  </si>
  <si>
    <t>弓弦</t>
    <phoneticPr fontId="2" type="noConversion"/>
  </si>
  <si>
    <t>是否启用</t>
  </si>
  <si>
    <t>远程部件</t>
    <phoneticPr fontId="2" type="noConversion"/>
  </si>
  <si>
    <t>工具部件</t>
    <phoneticPr fontId="2" type="noConversion"/>
  </si>
  <si>
    <t>下界合金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</si>
</sst>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</cellStyleXfs>
  <cellXfs count="38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5" borderId="1" xfId="4" applyBorder="1" applyAlignment="1">
      <alignment horizontal="center" vertical="center"/>
    </xf>
    <xf numFmtId="0" fontId="1" fillId="4" borderId="1" xfId="3" applyBorder="1" applyAlignment="1">
      <alignment horizontal="center" vertical="center"/>
    </xf>
    <xf numFmtId="0" fontId="1" fillId="3" borderId="1" xfId="2" applyBorder="1" applyAlignment="1">
      <alignment horizontal="center" vertical="center"/>
    </xf>
    <xf numFmtId="0" fontId="1" fillId="2" borderId="1" xfId="1" applyBorder="1" applyAlignment="1">
      <alignment horizontal="center" vertical="center"/>
    </xf>
    <xf numFmtId="0" fontId="1" fillId="0" borderId="1" xfId="3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/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0" borderId="5" xfId="3" applyFill="1" applyBorder="1" applyAlignment="1">
      <alignment horizontal="center" vertical="center"/>
    </xf>
    <xf numFmtId="0" fontId="1" fillId="5" borderId="5" xfId="4" applyBorder="1" applyAlignment="1">
      <alignment horizontal="center" vertical="center"/>
    </xf>
    <xf numFmtId="0" fontId="1" fillId="3" borderId="1" xfId="2" applyBorder="1" applyAlignment="1">
      <alignment horizontal="center" vertical="center"/>
    </xf>
    <xf numFmtId="0" fontId="1" fillId="5" borderId="1" xfId="4" applyBorder="1" applyAlignment="1">
      <alignment horizontal="center" vertical="center"/>
    </xf>
    <xf numFmtId="0" fontId="1" fillId="4" borderId="1" xfId="3" applyBorder="1" applyAlignment="1">
      <alignment horizontal="center" vertical="center"/>
    </xf>
    <xf numFmtId="0" fontId="1" fillId="3" borderId="3" xfId="2" applyBorder="1" applyAlignment="1">
      <alignment horizontal="center" vertical="center"/>
    </xf>
    <xf numFmtId="0" fontId="1" fillId="3" borderId="4" xfId="2" applyBorder="1" applyAlignment="1">
      <alignment horizontal="center" vertical="center"/>
    </xf>
    <xf numFmtId="0" fontId="1" fillId="5" borderId="6" xfId="4" applyBorder="1" applyAlignment="1">
      <alignment horizontal="center" vertical="center"/>
    </xf>
    <xf numFmtId="0" fontId="1" fillId="5" borderId="7" xfId="4" applyBorder="1" applyAlignment="1">
      <alignment horizontal="center" vertical="center"/>
    </xf>
    <xf numFmtId="0" fontId="1" fillId="5" borderId="8" xfId="4" applyBorder="1" applyAlignment="1">
      <alignment horizontal="center" vertical="center"/>
    </xf>
    <xf numFmtId="0" fontId="1" fillId="4" borderId="2" xfId="3" applyBorder="1" applyAlignment="1">
      <alignment horizontal="center" vertical="center"/>
    </xf>
    <xf numFmtId="0" fontId="1" fillId="4" borderId="3" xfId="3" applyBorder="1" applyAlignment="1">
      <alignment horizontal="center" vertical="center"/>
    </xf>
    <xf numFmtId="0" fontId="1" fillId="4" borderId="4" xfId="3" applyBorder="1" applyAlignment="1">
      <alignment horizontal="center" vertical="center"/>
    </xf>
    <xf numFmtId="0" fontId="1" fillId="2" borderId="2" xfId="1" applyBorder="1" applyAlignment="1">
      <alignment horizontal="center" vertical="center"/>
    </xf>
    <xf numFmtId="0" fontId="1" fillId="2" borderId="3" xfId="1" applyBorder="1" applyAlignment="1">
      <alignment horizontal="center" vertical="center"/>
    </xf>
    <xf numFmtId="0" fontId="1" fillId="2" borderId="4" xfId="1" applyBorder="1" applyAlignment="1">
      <alignment horizontal="center" vertical="center"/>
    </xf>
    <xf numFmtId="0" fontId="1" fillId="4" borderId="9" xfId="3" applyBorder="1" applyAlignment="1">
      <alignment horizontal="center" vertical="center"/>
    </xf>
    <xf numFmtId="0" fontId="1" fillId="4" borderId="0" xfId="3" applyBorder="1" applyAlignment="1">
      <alignment horizontal="center" vertical="center"/>
    </xf>
    <xf numFmtId="0" fontId="1" fillId="3" borderId="2" xfId="2" applyBorder="1" applyAlignment="1">
      <alignment horizontal="center" vertical="center"/>
    </xf>
    <xf numFmtId="0" fontId="1" fillId="4" borderId="5" xfId="3" applyBorder="1" applyAlignment="1">
      <alignment horizontal="center" vertical="center"/>
    </xf>
    <xf numFmtId="0" fontId="1" fillId="4" borderId="6" xfId="3" applyBorder="1" applyAlignment="1">
      <alignment horizontal="center" vertical="center"/>
    </xf>
    <xf numFmtId="0" fontId="1" fillId="4" borderId="7" xfId="3" applyBorder="1" applyAlignment="1">
      <alignment horizontal="center" vertical="center"/>
    </xf>
    <xf numFmtId="0" fontId="1" fillId="4" borderId="8" xfId="3" applyBorder="1" applyAlignment="1">
      <alignment horizontal="center" vertical="center"/>
    </xf>
  </cellXfs>
  <cellStyles count="5">
    <cellStyle name="20% - 着色 2" xfId="1" builtinId="34"/>
    <cellStyle name="20% - 着色 4" xfId="2" builtinId="42"/>
    <cellStyle name="20% - 着色 5" xfId="3" builtinId="46"/>
    <cellStyle name="20% - 着色 6" xfId="4" builtinId="50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68"/>
  <sheetViews>
    <sheetView tabSelected="1" zoomScaleNormal="100" workbookViewId="0">
      <pane xSplit="3" topLeftCell="H1" activePane="topRight" state="frozen"/>
      <selection pane="topRight" activeCell="I5" sqref="I5"/>
    </sheetView>
  </sheetViews>
  <sheetFormatPr defaultColWidth="16.625" defaultRowHeight="20.100000000000001" customHeight="1" x14ac:dyDescent="0.2"/>
  <cols>
    <col min="1" max="16384" width="16.625" style="2"/>
  </cols>
  <sheetData>
    <row r="2" spans="1:13" ht="20.100000000000001" customHeight="1" x14ac:dyDescent="0.2">
      <c r="D2" s="2">
        <v>1</v>
      </c>
      <c r="E2" s="2">
        <v>1</v>
      </c>
      <c r="F2" s="2">
        <v>1</v>
      </c>
      <c r="G2" s="2">
        <v>1</v>
      </c>
      <c r="H2" s="2">
        <v>1</v>
      </c>
      <c r="I2" s="2">
        <v>1</v>
      </c>
    </row>
    <row r="3" spans="1:13" ht="20.100000000000001" customHeight="1" x14ac:dyDescent="0.2">
      <c r="D3" s="2" t="s">
        <v>0</v>
      </c>
    </row>
    <row r="4" spans="1:13" s="1" customFormat="1" ht="20.100000000000001" customHeight="1" x14ac:dyDescent="0.2">
      <c r="D4" s="1" t="s">
        <v>31</v>
      </c>
      <c r="E4" s="1" t="s">
        <v>32</v>
      </c>
      <c r="F4" s="1" t="s">
        <v>33</v>
      </c>
      <c r="G4" s="1" t="s">
        <v>34</v>
      </c>
      <c r="H4" s="1" t="s">
        <v>36</v>
      </c>
      <c r="I4" s="1" t="s">
        <v>37</v>
      </c>
      <c r="J4" s="1" t="s">
        <v>35</v>
      </c>
      <c r="K4" s="1" t="s">
        <v>38</v>
      </c>
      <c r="L4" s="1" t="s">
        <v>39</v>
      </c>
      <c r="M4" s="1" t="s">
        <v>40</v>
      </c>
    </row>
    <row r="5" spans="1:13" s="1" customFormat="1" ht="20.100000000000001" customHeight="1" x14ac:dyDescent="0.2">
      <c r="C5" s="1" t="s">
        <v>125</v>
      </c>
      <c r="D5" s="1">
        <v>1</v>
      </c>
      <c r="E5" s="1">
        <v>1</v>
      </c>
      <c r="F5" s="1">
        <v>1</v>
      </c>
      <c r="G5" s="1">
        <v>1</v>
      </c>
      <c r="H5" s="1">
        <v>1</v>
      </c>
      <c r="I5" s="1">
        <v>1</v>
      </c>
      <c r="J5" s="1">
        <v>1</v>
      </c>
      <c r="K5" s="1">
        <v>1</v>
      </c>
      <c r="L5" s="1">
        <v>1</v>
      </c>
      <c r="M5" s="1">
        <v>1</v>
      </c>
    </row>
    <row r="6" spans="1:13" s="1" customFormat="1" ht="20.100000000000001" customHeight="1" x14ac:dyDescent="0.2">
      <c r="C6" s="1" t="s">
        <v>126</v>
      </c>
      <c r="D6" s="1">
        <v>1</v>
      </c>
      <c r="E6" s="1" t="s">
        <v>127</v>
      </c>
      <c r="F6" s="1">
        <v>1</v>
      </c>
      <c r="G6" s="1">
        <v>1</v>
      </c>
      <c r="H6" s="1">
        <v>2</v>
      </c>
      <c r="I6" s="1">
        <v>2</v>
      </c>
      <c r="J6" s="1" t="s">
        <v>128</v>
      </c>
      <c r="K6" s="1" t="s">
        <v>128</v>
      </c>
      <c r="L6" s="1">
        <v>3</v>
      </c>
      <c r="M6" s="1">
        <v>4</v>
      </c>
    </row>
    <row r="7" spans="1:13" s="3" customFormat="1" ht="20.100000000000001" customHeight="1" x14ac:dyDescent="0.2">
      <c r="A7" s="18" t="s">
        <v>138</v>
      </c>
      <c r="B7" s="16" t="s">
        <v>24</v>
      </c>
      <c r="C7" s="3" t="s">
        <v>6</v>
      </c>
      <c r="D7" s="3">
        <v>10</v>
      </c>
      <c r="E7" s="3">
        <v>13</v>
      </c>
      <c r="F7" s="3">
        <v>11</v>
      </c>
      <c r="G7" s="3">
        <v>9</v>
      </c>
      <c r="H7" s="3">
        <v>17</v>
      </c>
      <c r="I7" s="3">
        <v>15</v>
      </c>
      <c r="J7" s="3">
        <v>18</v>
      </c>
      <c r="K7" s="3">
        <v>18</v>
      </c>
      <c r="L7" s="3">
        <v>20</v>
      </c>
      <c r="M7" s="3">
        <v>23</v>
      </c>
    </row>
    <row r="8" spans="1:13" s="3" customFormat="1" ht="20.100000000000001" customHeight="1" x14ac:dyDescent="0.2">
      <c r="A8" s="18"/>
      <c r="B8" s="16"/>
      <c r="C8" s="3" t="s">
        <v>7</v>
      </c>
      <c r="D8" s="3">
        <v>600</v>
      </c>
      <c r="E8" s="3">
        <v>650</v>
      </c>
      <c r="F8" s="3">
        <v>550</v>
      </c>
      <c r="G8" s="3">
        <v>450</v>
      </c>
      <c r="H8" s="3">
        <v>750</v>
      </c>
      <c r="I8" s="3">
        <v>850</v>
      </c>
      <c r="J8" s="3">
        <v>650</v>
      </c>
      <c r="K8" s="3">
        <v>650</v>
      </c>
      <c r="L8" s="3">
        <v>250</v>
      </c>
      <c r="M8" s="3">
        <v>800</v>
      </c>
    </row>
    <row r="9" spans="1:13" s="3" customFormat="1" ht="20.100000000000001" customHeight="1" x14ac:dyDescent="0.2">
      <c r="A9" s="18"/>
      <c r="B9" s="16"/>
      <c r="C9" s="3" t="s">
        <v>8</v>
      </c>
      <c r="D9" s="3">
        <v>7</v>
      </c>
      <c r="E9" s="3">
        <v>7</v>
      </c>
      <c r="F9" s="3">
        <v>8</v>
      </c>
      <c r="G9" s="3">
        <v>6</v>
      </c>
      <c r="H9" s="3">
        <v>7</v>
      </c>
      <c r="I9" s="3">
        <v>8</v>
      </c>
      <c r="J9" s="3">
        <v>9</v>
      </c>
      <c r="K9" s="3">
        <v>9</v>
      </c>
      <c r="L9" s="3">
        <v>7</v>
      </c>
      <c r="M9" s="3">
        <v>9</v>
      </c>
    </row>
    <row r="10" spans="1:13" s="3" customFormat="1" ht="20.100000000000001" customHeight="1" x14ac:dyDescent="0.2">
      <c r="A10" s="18"/>
      <c r="B10" s="16"/>
      <c r="C10" s="3" t="s">
        <v>9</v>
      </c>
      <c r="D10" s="3" t="s">
        <v>27</v>
      </c>
      <c r="E10" s="3" t="s">
        <v>139</v>
      </c>
      <c r="F10" s="3" t="s">
        <v>27</v>
      </c>
      <c r="G10" s="3" t="s">
        <v>27</v>
      </c>
      <c r="H10" s="3" t="s">
        <v>139</v>
      </c>
      <c r="I10" s="3" t="s">
        <v>139</v>
      </c>
      <c r="J10" s="3" t="s">
        <v>139</v>
      </c>
      <c r="K10" s="3" t="s">
        <v>139</v>
      </c>
      <c r="L10" s="3" t="s">
        <v>27</v>
      </c>
      <c r="M10" s="3" t="s">
        <v>139</v>
      </c>
    </row>
    <row r="11" spans="1:13" s="3" customFormat="1" ht="20.100000000000001" customHeight="1" x14ac:dyDescent="0.2">
      <c r="A11" s="18"/>
      <c r="B11" s="16" t="s">
        <v>30</v>
      </c>
      <c r="C11" s="3">
        <v>1</v>
      </c>
    </row>
    <row r="12" spans="1:13" s="3" customFormat="1" ht="20.100000000000001" customHeight="1" x14ac:dyDescent="0.2">
      <c r="A12" s="18"/>
      <c r="B12" s="16"/>
      <c r="C12" s="3">
        <v>2</v>
      </c>
    </row>
    <row r="13" spans="1:13" s="3" customFormat="1" ht="20.100000000000001" customHeight="1" x14ac:dyDescent="0.2">
      <c r="A13" s="18"/>
      <c r="B13" s="16"/>
      <c r="C13" s="3">
        <v>3</v>
      </c>
    </row>
    <row r="14" spans="1:13" ht="20.100000000000001" customHeight="1" x14ac:dyDescent="0.2">
      <c r="A14" s="18"/>
    </row>
    <row r="15" spans="1:13" s="3" customFormat="1" ht="20.100000000000001" customHeight="1" x14ac:dyDescent="0.2">
      <c r="A15" s="18"/>
      <c r="B15" s="22" t="s">
        <v>1</v>
      </c>
      <c r="C15" s="3" t="s">
        <v>2</v>
      </c>
      <c r="D15" s="3">
        <v>0</v>
      </c>
      <c r="E15" s="3">
        <v>0.1</v>
      </c>
      <c r="F15" s="3">
        <v>0.3</v>
      </c>
      <c r="G15" s="3">
        <v>-0.1</v>
      </c>
      <c r="H15" s="3">
        <v>-0.1</v>
      </c>
      <c r="I15" s="3">
        <v>0.3</v>
      </c>
      <c r="J15" s="3">
        <v>0</v>
      </c>
      <c r="K15" s="3">
        <v>0.1</v>
      </c>
      <c r="L15" s="3">
        <v>-0.1</v>
      </c>
      <c r="M15" s="3">
        <v>0.1</v>
      </c>
    </row>
    <row r="16" spans="1:13" s="3" customFormat="1" ht="20.100000000000001" customHeight="1" x14ac:dyDescent="0.2">
      <c r="A16" s="18"/>
      <c r="B16" s="23"/>
      <c r="C16" s="3" t="s">
        <v>3</v>
      </c>
      <c r="D16" s="3">
        <v>0.2</v>
      </c>
      <c r="E16" s="3">
        <v>0.15</v>
      </c>
      <c r="F16" s="3">
        <v>0</v>
      </c>
      <c r="G16" s="3">
        <v>0.2</v>
      </c>
      <c r="H16" s="3">
        <v>0.25</v>
      </c>
      <c r="I16" s="3">
        <v>0.15</v>
      </c>
      <c r="J16" s="3">
        <v>0.3</v>
      </c>
      <c r="K16" s="3">
        <v>0.25</v>
      </c>
      <c r="L16" s="3">
        <v>0.3</v>
      </c>
      <c r="M16" s="3">
        <v>0.3</v>
      </c>
    </row>
    <row r="17" spans="1:13" s="3" customFormat="1" ht="20.100000000000001" customHeight="1" x14ac:dyDescent="0.2">
      <c r="A17" s="18"/>
      <c r="B17" s="23"/>
      <c r="C17" s="3" t="s">
        <v>4</v>
      </c>
      <c r="D17" s="3">
        <v>0</v>
      </c>
      <c r="E17" s="3">
        <v>0.05</v>
      </c>
      <c r="F17" s="3">
        <v>0</v>
      </c>
      <c r="G17" s="3">
        <v>0.05</v>
      </c>
      <c r="H17" s="3">
        <v>0</v>
      </c>
      <c r="I17" s="3">
        <v>0.1</v>
      </c>
      <c r="J17" s="3">
        <v>0.05</v>
      </c>
      <c r="K17" s="3">
        <v>0.05</v>
      </c>
      <c r="L17" s="3">
        <v>0.1</v>
      </c>
      <c r="M17" s="3">
        <v>0.05</v>
      </c>
    </row>
    <row r="18" spans="1:13" s="3" customFormat="1" ht="20.100000000000001" customHeight="1" x14ac:dyDescent="0.2">
      <c r="A18" s="18"/>
      <c r="B18" s="24"/>
      <c r="C18" s="3" t="s">
        <v>5</v>
      </c>
      <c r="D18" s="3">
        <v>0.1</v>
      </c>
      <c r="E18" s="3">
        <v>0</v>
      </c>
      <c r="F18" s="3">
        <v>0.2</v>
      </c>
      <c r="G18" s="3">
        <v>0</v>
      </c>
      <c r="H18" s="3">
        <v>0.05</v>
      </c>
      <c r="I18" s="3">
        <v>0.2</v>
      </c>
      <c r="J18" s="3">
        <v>0.1</v>
      </c>
      <c r="K18" s="3">
        <v>0.25</v>
      </c>
      <c r="L18" s="3">
        <v>0.1</v>
      </c>
      <c r="M18" s="3">
        <v>0.15</v>
      </c>
    </row>
    <row r="19" spans="1:13" ht="20.100000000000001" customHeight="1" x14ac:dyDescent="0.2">
      <c r="B19" s="10"/>
      <c r="C19" s="10"/>
      <c r="D19" s="10"/>
      <c r="E19" s="10"/>
    </row>
    <row r="20" spans="1:13" s="4" customFormat="1" ht="20.100000000000001" customHeight="1" x14ac:dyDescent="0.2">
      <c r="A20" s="31" t="s">
        <v>132</v>
      </c>
      <c r="B20" s="19" t="s">
        <v>12</v>
      </c>
      <c r="C20" s="4" t="s">
        <v>13</v>
      </c>
      <c r="D20" s="4">
        <v>2</v>
      </c>
      <c r="E20" s="4">
        <v>2</v>
      </c>
      <c r="F20" s="4">
        <v>2</v>
      </c>
      <c r="G20" s="4">
        <v>1</v>
      </c>
      <c r="H20" s="4">
        <v>2</v>
      </c>
      <c r="I20" s="4">
        <v>3</v>
      </c>
      <c r="J20" s="4">
        <v>3</v>
      </c>
      <c r="K20" s="4">
        <v>3</v>
      </c>
      <c r="L20" s="4">
        <v>4</v>
      </c>
      <c r="M20" s="4">
        <v>4</v>
      </c>
    </row>
    <row r="21" spans="1:13" s="4" customFormat="1" ht="20.100000000000001" customHeight="1" x14ac:dyDescent="0.2">
      <c r="A21" s="32"/>
      <c r="B21" s="19"/>
      <c r="C21" s="4" t="s">
        <v>7</v>
      </c>
      <c r="D21" s="4">
        <f>0.7*D26</f>
        <v>420</v>
      </c>
      <c r="E21" s="4">
        <f t="shared" ref="E21:M21" si="0">0.7*E26</f>
        <v>454.99999999999994</v>
      </c>
      <c r="F21" s="4">
        <f t="shared" si="0"/>
        <v>385</v>
      </c>
      <c r="G21" s="4">
        <f t="shared" si="0"/>
        <v>315</v>
      </c>
      <c r="H21" s="4">
        <f t="shared" si="0"/>
        <v>525</v>
      </c>
      <c r="I21" s="4">
        <f t="shared" si="0"/>
        <v>595</v>
      </c>
      <c r="J21" s="4">
        <f t="shared" si="0"/>
        <v>454.99999999999994</v>
      </c>
      <c r="K21" s="4">
        <f t="shared" si="0"/>
        <v>454.99999999999994</v>
      </c>
      <c r="L21" s="4">
        <f t="shared" si="0"/>
        <v>175</v>
      </c>
      <c r="M21" s="4">
        <f t="shared" si="0"/>
        <v>560</v>
      </c>
    </row>
    <row r="22" spans="1:13" s="4" customFormat="1" ht="20.100000000000001" customHeight="1" x14ac:dyDescent="0.2">
      <c r="A22" s="32"/>
      <c r="B22" s="19"/>
      <c r="C22" s="4" t="s">
        <v>14</v>
      </c>
      <c r="D22" s="4">
        <v>1</v>
      </c>
      <c r="E22" s="4">
        <v>1</v>
      </c>
      <c r="F22" s="4">
        <v>1</v>
      </c>
      <c r="G22" s="4">
        <v>1</v>
      </c>
      <c r="H22" s="4">
        <v>1</v>
      </c>
      <c r="I22" s="4">
        <v>1</v>
      </c>
      <c r="J22" s="4">
        <v>1</v>
      </c>
      <c r="K22" s="4">
        <v>1</v>
      </c>
      <c r="L22" s="4">
        <v>1</v>
      </c>
      <c r="M22" s="4">
        <v>2</v>
      </c>
    </row>
    <row r="23" spans="1:13" s="4" customFormat="1" ht="20.100000000000001" customHeight="1" x14ac:dyDescent="0.2">
      <c r="A23" s="32"/>
      <c r="B23" s="19"/>
      <c r="C23" s="4" t="s">
        <v>15</v>
      </c>
    </row>
    <row r="24" spans="1:13" ht="20.100000000000001" customHeight="1" x14ac:dyDescent="0.2">
      <c r="A24" s="32"/>
      <c r="B24" s="10"/>
      <c r="C24" s="10"/>
      <c r="D24" s="10"/>
      <c r="E24" s="10"/>
    </row>
    <row r="25" spans="1:13" s="4" customFormat="1" ht="20.100000000000001" customHeight="1" x14ac:dyDescent="0.2">
      <c r="A25" s="32"/>
      <c r="B25" s="19" t="s">
        <v>16</v>
      </c>
      <c r="C25" s="4" t="s">
        <v>13</v>
      </c>
      <c r="D25" s="4">
        <v>3</v>
      </c>
      <c r="E25" s="4">
        <v>4</v>
      </c>
      <c r="F25" s="4">
        <v>3</v>
      </c>
      <c r="G25" s="4">
        <v>3</v>
      </c>
      <c r="H25" s="4">
        <v>4</v>
      </c>
      <c r="I25" s="4">
        <v>4</v>
      </c>
      <c r="J25" s="4">
        <v>4</v>
      </c>
      <c r="K25" s="4">
        <v>5</v>
      </c>
      <c r="L25" s="4">
        <v>5</v>
      </c>
      <c r="M25" s="4">
        <v>6</v>
      </c>
    </row>
    <row r="26" spans="1:13" s="4" customFormat="1" ht="20.100000000000001" customHeight="1" x14ac:dyDescent="0.2">
      <c r="A26" s="32"/>
      <c r="B26" s="19"/>
      <c r="C26" s="4" t="s">
        <v>7</v>
      </c>
      <c r="D26" s="4">
        <f t="shared" ref="D26:M26" si="1">D8</f>
        <v>600</v>
      </c>
      <c r="E26" s="4">
        <f t="shared" si="1"/>
        <v>650</v>
      </c>
      <c r="F26" s="4">
        <f t="shared" si="1"/>
        <v>550</v>
      </c>
      <c r="G26" s="4">
        <f t="shared" si="1"/>
        <v>450</v>
      </c>
      <c r="H26" s="4">
        <f t="shared" si="1"/>
        <v>750</v>
      </c>
      <c r="I26" s="4">
        <f t="shared" si="1"/>
        <v>850</v>
      </c>
      <c r="J26" s="4">
        <f t="shared" si="1"/>
        <v>650</v>
      </c>
      <c r="K26" s="4">
        <f t="shared" si="1"/>
        <v>650</v>
      </c>
      <c r="L26" s="4">
        <f t="shared" si="1"/>
        <v>250</v>
      </c>
      <c r="M26" s="4">
        <f t="shared" si="1"/>
        <v>800</v>
      </c>
    </row>
    <row r="27" spans="1:13" s="4" customFormat="1" ht="20.100000000000001" customHeight="1" x14ac:dyDescent="0.2">
      <c r="A27" s="32"/>
      <c r="B27" s="19"/>
      <c r="C27" s="4" t="s">
        <v>14</v>
      </c>
      <c r="D27" s="4">
        <v>1</v>
      </c>
      <c r="E27" s="4">
        <v>1</v>
      </c>
      <c r="F27" s="4">
        <v>1</v>
      </c>
      <c r="G27" s="4">
        <v>1</v>
      </c>
      <c r="H27" s="4">
        <v>1</v>
      </c>
      <c r="I27" s="4">
        <v>1</v>
      </c>
      <c r="J27" s="4">
        <v>1</v>
      </c>
      <c r="K27" s="4">
        <v>1</v>
      </c>
      <c r="L27" s="4">
        <v>1</v>
      </c>
      <c r="M27" s="4">
        <v>2</v>
      </c>
    </row>
    <row r="28" spans="1:13" s="4" customFormat="1" ht="20.100000000000001" customHeight="1" x14ac:dyDescent="0.2">
      <c r="A28" s="32"/>
      <c r="B28" s="19"/>
      <c r="C28" s="4" t="s">
        <v>15</v>
      </c>
    </row>
    <row r="29" spans="1:13" ht="20.100000000000001" customHeight="1" x14ac:dyDescent="0.2">
      <c r="A29" s="32"/>
      <c r="B29" s="9"/>
      <c r="C29" s="9"/>
      <c r="D29" s="9"/>
      <c r="E29" s="9"/>
    </row>
    <row r="30" spans="1:13" s="4" customFormat="1" ht="20.100000000000001" customHeight="1" x14ac:dyDescent="0.2">
      <c r="A30" s="32"/>
      <c r="B30" s="25" t="s">
        <v>17</v>
      </c>
      <c r="C30" s="4" t="s">
        <v>13</v>
      </c>
      <c r="D30" s="4">
        <v>3</v>
      </c>
      <c r="E30" s="4">
        <v>3</v>
      </c>
      <c r="F30" s="4">
        <v>3</v>
      </c>
      <c r="G30" s="4">
        <v>3</v>
      </c>
      <c r="H30" s="4">
        <v>3</v>
      </c>
      <c r="I30" s="4">
        <v>4</v>
      </c>
      <c r="J30" s="4">
        <v>5</v>
      </c>
      <c r="K30" s="4">
        <v>4</v>
      </c>
      <c r="L30" s="4">
        <v>4</v>
      </c>
      <c r="M30" s="4">
        <v>4</v>
      </c>
    </row>
    <row r="31" spans="1:13" s="4" customFormat="1" ht="20.100000000000001" customHeight="1" x14ac:dyDescent="0.2">
      <c r="A31" s="32"/>
      <c r="B31" s="26"/>
      <c r="C31" s="4" t="s">
        <v>7</v>
      </c>
      <c r="D31" s="4">
        <f>0.9*D26</f>
        <v>540</v>
      </c>
      <c r="E31" s="4">
        <f t="shared" ref="E31:M31" si="2">0.9*E26</f>
        <v>585</v>
      </c>
      <c r="F31" s="4">
        <f t="shared" si="2"/>
        <v>495</v>
      </c>
      <c r="G31" s="4">
        <f t="shared" si="2"/>
        <v>405</v>
      </c>
      <c r="H31" s="4">
        <f t="shared" si="2"/>
        <v>675</v>
      </c>
      <c r="I31" s="4">
        <f t="shared" si="2"/>
        <v>765</v>
      </c>
      <c r="J31" s="4">
        <f t="shared" si="2"/>
        <v>585</v>
      </c>
      <c r="K31" s="4">
        <f t="shared" si="2"/>
        <v>585</v>
      </c>
      <c r="L31" s="4">
        <f t="shared" si="2"/>
        <v>225</v>
      </c>
      <c r="M31" s="4">
        <f t="shared" si="2"/>
        <v>720</v>
      </c>
    </row>
    <row r="32" spans="1:13" s="4" customFormat="1" ht="20.100000000000001" customHeight="1" x14ac:dyDescent="0.2">
      <c r="A32" s="32"/>
      <c r="B32" s="26"/>
      <c r="C32" s="4" t="s">
        <v>14</v>
      </c>
      <c r="D32" s="4">
        <v>1</v>
      </c>
      <c r="E32" s="4">
        <v>1</v>
      </c>
      <c r="F32" s="4">
        <v>1</v>
      </c>
      <c r="G32" s="4">
        <v>1</v>
      </c>
      <c r="H32" s="4">
        <v>1</v>
      </c>
      <c r="I32" s="4">
        <v>1</v>
      </c>
      <c r="J32" s="4">
        <v>1</v>
      </c>
      <c r="K32" s="4">
        <v>1</v>
      </c>
      <c r="L32" s="4">
        <v>1</v>
      </c>
      <c r="M32" s="4">
        <v>2</v>
      </c>
    </row>
    <row r="33" spans="1:13" s="4" customFormat="1" ht="20.100000000000001" customHeight="1" x14ac:dyDescent="0.2">
      <c r="A33" s="32"/>
      <c r="B33" s="27"/>
      <c r="C33" s="4" t="s">
        <v>15</v>
      </c>
    </row>
    <row r="34" spans="1:13" ht="20.100000000000001" customHeight="1" x14ac:dyDescent="0.2">
      <c r="A34" s="32"/>
      <c r="B34" s="1"/>
      <c r="C34" s="1"/>
      <c r="D34" s="1"/>
      <c r="E34" s="1"/>
    </row>
    <row r="35" spans="1:13" s="4" customFormat="1" ht="20.100000000000001" customHeight="1" x14ac:dyDescent="0.2">
      <c r="A35" s="32"/>
      <c r="B35" s="25" t="s">
        <v>18</v>
      </c>
      <c r="C35" s="4" t="s">
        <v>13</v>
      </c>
      <c r="D35" s="4">
        <v>2</v>
      </c>
      <c r="E35" s="4">
        <v>2</v>
      </c>
      <c r="F35" s="4">
        <v>2</v>
      </c>
      <c r="G35" s="4">
        <v>1</v>
      </c>
      <c r="H35" s="4">
        <v>2</v>
      </c>
      <c r="I35" s="4">
        <v>2</v>
      </c>
      <c r="J35" s="4">
        <v>3</v>
      </c>
      <c r="K35" s="4">
        <v>3</v>
      </c>
      <c r="L35" s="4">
        <v>2</v>
      </c>
      <c r="M35" s="4">
        <v>3</v>
      </c>
    </row>
    <row r="36" spans="1:13" s="4" customFormat="1" ht="20.100000000000001" customHeight="1" x14ac:dyDescent="0.2">
      <c r="A36" s="32"/>
      <c r="B36" s="26"/>
      <c r="C36" s="4" t="s">
        <v>7</v>
      </c>
      <c r="D36" s="4">
        <f>0.6*D26</f>
        <v>360</v>
      </c>
      <c r="E36" s="4">
        <f t="shared" ref="E36:M36" si="3">0.6*E26</f>
        <v>390</v>
      </c>
      <c r="F36" s="4">
        <f t="shared" si="3"/>
        <v>330</v>
      </c>
      <c r="G36" s="4">
        <f t="shared" si="3"/>
        <v>270</v>
      </c>
      <c r="H36" s="4">
        <f t="shared" si="3"/>
        <v>450</v>
      </c>
      <c r="I36" s="4">
        <f t="shared" si="3"/>
        <v>510</v>
      </c>
      <c r="J36" s="4">
        <f t="shared" si="3"/>
        <v>390</v>
      </c>
      <c r="K36" s="4">
        <f t="shared" si="3"/>
        <v>390</v>
      </c>
      <c r="L36" s="4">
        <f t="shared" si="3"/>
        <v>150</v>
      </c>
      <c r="M36" s="4">
        <f t="shared" si="3"/>
        <v>480</v>
      </c>
    </row>
    <row r="37" spans="1:13" s="4" customFormat="1" ht="20.100000000000001" customHeight="1" x14ac:dyDescent="0.2">
      <c r="A37" s="32"/>
      <c r="B37" s="26"/>
      <c r="C37" s="4" t="s">
        <v>14</v>
      </c>
      <c r="D37" s="4">
        <v>1</v>
      </c>
      <c r="E37" s="4">
        <v>1</v>
      </c>
      <c r="F37" s="4">
        <v>1</v>
      </c>
      <c r="G37" s="4">
        <v>1</v>
      </c>
      <c r="H37" s="4">
        <v>1</v>
      </c>
      <c r="I37" s="4">
        <v>1</v>
      </c>
      <c r="J37" s="4">
        <v>1</v>
      </c>
      <c r="K37" s="4">
        <v>1</v>
      </c>
      <c r="L37" s="4">
        <v>1</v>
      </c>
      <c r="M37" s="4">
        <v>2</v>
      </c>
    </row>
    <row r="38" spans="1:13" s="4" customFormat="1" ht="20.100000000000001" customHeight="1" x14ac:dyDescent="0.2">
      <c r="A38" s="32"/>
      <c r="B38" s="27"/>
      <c r="C38" s="4" t="s">
        <v>15</v>
      </c>
    </row>
    <row r="39" spans="1:13" ht="20.100000000000001" customHeight="1" x14ac:dyDescent="0.2">
      <c r="A39" s="32"/>
      <c r="B39" s="1"/>
      <c r="C39" s="1"/>
      <c r="D39" s="1"/>
      <c r="E39" s="1"/>
    </row>
    <row r="40" spans="1:13" s="4" customFormat="1" ht="20.100000000000001" customHeight="1" x14ac:dyDescent="0.2">
      <c r="A40" s="32"/>
      <c r="B40" s="25" t="s">
        <v>19</v>
      </c>
      <c r="C40" s="4" t="s">
        <v>7</v>
      </c>
      <c r="D40" s="4">
        <f>0.9*D26</f>
        <v>540</v>
      </c>
      <c r="E40" s="4">
        <f t="shared" ref="E40:M40" si="4">0.9*E26</f>
        <v>585</v>
      </c>
      <c r="F40" s="4">
        <f t="shared" si="4"/>
        <v>495</v>
      </c>
      <c r="G40" s="4">
        <f t="shared" si="4"/>
        <v>405</v>
      </c>
      <c r="H40" s="4">
        <f t="shared" si="4"/>
        <v>675</v>
      </c>
      <c r="I40" s="4">
        <f t="shared" si="4"/>
        <v>765</v>
      </c>
      <c r="J40" s="4">
        <f t="shared" si="4"/>
        <v>585</v>
      </c>
      <c r="K40" s="4">
        <f t="shared" si="4"/>
        <v>585</v>
      </c>
      <c r="L40" s="4">
        <f t="shared" si="4"/>
        <v>225</v>
      </c>
      <c r="M40" s="4">
        <f t="shared" si="4"/>
        <v>720</v>
      </c>
    </row>
    <row r="41" spans="1:13" s="4" customFormat="1" ht="20.100000000000001" customHeight="1" x14ac:dyDescent="0.2">
      <c r="A41" s="32"/>
      <c r="B41" s="26"/>
      <c r="C41" s="4" t="s">
        <v>14</v>
      </c>
      <c r="D41" s="4">
        <v>1</v>
      </c>
      <c r="E41" s="4">
        <v>1</v>
      </c>
      <c r="F41" s="4">
        <v>1</v>
      </c>
      <c r="G41" s="4">
        <v>1</v>
      </c>
      <c r="H41" s="4">
        <v>1</v>
      </c>
      <c r="I41" s="4">
        <v>1</v>
      </c>
      <c r="J41" s="4">
        <v>1</v>
      </c>
      <c r="K41" s="4">
        <v>1</v>
      </c>
      <c r="L41" s="4">
        <v>1</v>
      </c>
      <c r="M41" s="4">
        <v>2</v>
      </c>
    </row>
    <row r="42" spans="1:13" s="4" customFormat="1" ht="20.100000000000001" customHeight="1" x14ac:dyDescent="0.2">
      <c r="A42" s="32"/>
      <c r="B42" s="27"/>
      <c r="C42" s="4" t="s">
        <v>15</v>
      </c>
    </row>
    <row r="43" spans="1:13" ht="20.100000000000001" customHeight="1" x14ac:dyDescent="0.2">
      <c r="A43" s="32"/>
    </row>
    <row r="44" spans="1:13" s="4" customFormat="1" ht="20.100000000000001" customHeight="1" x14ac:dyDescent="0.2">
      <c r="A44" s="32"/>
      <c r="B44" s="25" t="s">
        <v>30</v>
      </c>
      <c r="C44" s="4">
        <v>1</v>
      </c>
    </row>
    <row r="45" spans="1:13" s="4" customFormat="1" ht="20.100000000000001" customHeight="1" x14ac:dyDescent="0.2">
      <c r="A45" s="32"/>
      <c r="B45" s="26"/>
      <c r="C45" s="4">
        <v>2</v>
      </c>
    </row>
    <row r="46" spans="1:13" s="4" customFormat="1" ht="20.100000000000001" customHeight="1" x14ac:dyDescent="0.2">
      <c r="A46" s="32"/>
      <c r="B46" s="27"/>
      <c r="C46" s="4">
        <v>3</v>
      </c>
    </row>
    <row r="47" spans="1:13" ht="20.100000000000001" customHeight="1" x14ac:dyDescent="0.2">
      <c r="A47" s="32"/>
      <c r="B47" s="7"/>
      <c r="C47" s="7"/>
      <c r="D47" s="7"/>
      <c r="E47" s="7"/>
    </row>
    <row r="48" spans="1:13" s="4" customFormat="1" ht="20.100000000000001" customHeight="1" x14ac:dyDescent="0.2">
      <c r="A48" s="32"/>
      <c r="B48" s="25" t="s">
        <v>28</v>
      </c>
      <c r="C48" s="4" t="s">
        <v>29</v>
      </c>
      <c r="D48" s="4">
        <f>D20+D25+D30+D35</f>
        <v>10</v>
      </c>
      <c r="E48" s="4">
        <f>E20+E25+E30+E35</f>
        <v>11</v>
      </c>
      <c r="F48" s="4">
        <f t="shared" ref="F48:M48" si="5">F20+F25+F30+F35</f>
        <v>10</v>
      </c>
      <c r="G48" s="4">
        <f t="shared" si="5"/>
        <v>8</v>
      </c>
      <c r="H48" s="4">
        <f t="shared" si="5"/>
        <v>11</v>
      </c>
      <c r="I48" s="4">
        <f t="shared" si="5"/>
        <v>13</v>
      </c>
      <c r="J48" s="4">
        <f>J20+J25+J30+J35</f>
        <v>15</v>
      </c>
      <c r="K48" s="4">
        <f t="shared" si="5"/>
        <v>15</v>
      </c>
      <c r="L48" s="4">
        <f t="shared" si="5"/>
        <v>15</v>
      </c>
      <c r="M48" s="4">
        <f t="shared" si="5"/>
        <v>17</v>
      </c>
    </row>
    <row r="49" spans="1:13" s="4" customFormat="1" ht="20.100000000000001" customHeight="1" x14ac:dyDescent="0.2">
      <c r="A49" s="32"/>
      <c r="B49" s="26"/>
      <c r="C49" s="4" t="s">
        <v>130</v>
      </c>
      <c r="D49" s="4">
        <f>D22+D27+D32+D37+D41</f>
        <v>5</v>
      </c>
      <c r="E49" s="4">
        <f>E22+E27+E32+E37+E41</f>
        <v>5</v>
      </c>
      <c r="F49" s="4">
        <f t="shared" ref="F49:M49" si="6">F22+F27+F32+F37+F41</f>
        <v>5</v>
      </c>
      <c r="G49" s="4">
        <f t="shared" si="6"/>
        <v>5</v>
      </c>
      <c r="H49" s="4">
        <f t="shared" si="6"/>
        <v>5</v>
      </c>
      <c r="I49" s="4">
        <f t="shared" si="6"/>
        <v>5</v>
      </c>
      <c r="J49" s="4">
        <f>J22+J27+J32+J37+J41</f>
        <v>5</v>
      </c>
      <c r="K49" s="4">
        <f t="shared" si="6"/>
        <v>5</v>
      </c>
      <c r="L49" s="4">
        <f t="shared" si="6"/>
        <v>5</v>
      </c>
      <c r="M49" s="4">
        <f t="shared" si="6"/>
        <v>10</v>
      </c>
    </row>
    <row r="50" spans="1:13" s="4" customFormat="1" ht="20.100000000000001" customHeight="1" x14ac:dyDescent="0.2">
      <c r="A50" s="32"/>
      <c r="B50" s="27"/>
      <c r="C50" s="4" t="s">
        <v>131</v>
      </c>
      <c r="D50" s="4">
        <f>D48*(1+D49*0.02)</f>
        <v>11</v>
      </c>
      <c r="E50" s="4">
        <f>E48*(1+E49*0.02)</f>
        <v>12.100000000000001</v>
      </c>
      <c r="F50" s="4">
        <f t="shared" ref="F50:M50" si="7">F48*(1+F49*0.02)</f>
        <v>11</v>
      </c>
      <c r="G50" s="4">
        <f t="shared" si="7"/>
        <v>8.8000000000000007</v>
      </c>
      <c r="H50" s="4">
        <f t="shared" si="7"/>
        <v>12.100000000000001</v>
      </c>
      <c r="I50" s="4">
        <f t="shared" si="7"/>
        <v>14.3</v>
      </c>
      <c r="J50" s="4">
        <f>J48*(1+J49*0.02)</f>
        <v>16.5</v>
      </c>
      <c r="K50" s="4">
        <f t="shared" si="7"/>
        <v>16.5</v>
      </c>
      <c r="L50" s="4">
        <f t="shared" si="7"/>
        <v>16.5</v>
      </c>
      <c r="M50" s="4">
        <f t="shared" si="7"/>
        <v>20.399999999999999</v>
      </c>
    </row>
    <row r="51" spans="1:13" ht="20.100000000000001" customHeight="1" x14ac:dyDescent="0.2">
      <c r="B51" s="8"/>
      <c r="C51" s="8"/>
      <c r="D51" s="8"/>
      <c r="E51" s="8"/>
    </row>
    <row r="52" spans="1:13" s="5" customFormat="1" ht="20.100000000000001" customHeight="1" x14ac:dyDescent="0.2">
      <c r="A52" s="17" t="s">
        <v>137</v>
      </c>
      <c r="B52" s="17" t="s">
        <v>20</v>
      </c>
      <c r="C52" s="5" t="s">
        <v>21</v>
      </c>
    </row>
    <row r="53" spans="1:13" s="5" customFormat="1" ht="20.100000000000001" customHeight="1" x14ac:dyDescent="0.2">
      <c r="A53" s="17"/>
      <c r="B53" s="17"/>
      <c r="C53" s="5" t="s">
        <v>7</v>
      </c>
    </row>
    <row r="54" spans="1:13" s="5" customFormat="1" ht="20.100000000000001" customHeight="1" x14ac:dyDescent="0.2">
      <c r="A54" s="17"/>
      <c r="B54" s="17"/>
      <c r="C54" s="5" t="s">
        <v>22</v>
      </c>
    </row>
    <row r="55" spans="1:13" s="5" customFormat="1" ht="20.100000000000001" customHeight="1" x14ac:dyDescent="0.2">
      <c r="A55" s="17"/>
      <c r="B55" s="17"/>
      <c r="C55" s="5" t="s">
        <v>23</v>
      </c>
    </row>
    <row r="56" spans="1:13" s="5" customFormat="1" ht="20.100000000000001" customHeight="1" x14ac:dyDescent="0.2">
      <c r="A56" s="17"/>
      <c r="B56" s="17" t="s">
        <v>30</v>
      </c>
      <c r="C56" s="5">
        <v>1</v>
      </c>
    </row>
    <row r="57" spans="1:13" s="5" customFormat="1" ht="20.100000000000001" customHeight="1" x14ac:dyDescent="0.2">
      <c r="A57" s="17"/>
      <c r="B57" s="20"/>
      <c r="C57" s="5">
        <v>2</v>
      </c>
    </row>
    <row r="58" spans="1:13" s="5" customFormat="1" ht="20.100000000000001" customHeight="1" x14ac:dyDescent="0.2">
      <c r="A58" s="17"/>
      <c r="B58" s="21"/>
      <c r="C58" s="5">
        <v>3</v>
      </c>
    </row>
    <row r="59" spans="1:13" ht="20.100000000000001" customHeight="1" x14ac:dyDescent="0.2">
      <c r="A59" s="17"/>
      <c r="B59" s="9"/>
      <c r="C59" s="9"/>
      <c r="D59" s="9"/>
      <c r="E59" s="9"/>
    </row>
    <row r="60" spans="1:13" s="5" customFormat="1" ht="20.100000000000001" customHeight="1" x14ac:dyDescent="0.2">
      <c r="A60" s="17"/>
      <c r="B60" s="17" t="s">
        <v>25</v>
      </c>
      <c r="C60" s="5" t="s">
        <v>2</v>
      </c>
    </row>
    <row r="61" spans="1:13" s="5" customFormat="1" ht="20.100000000000001" customHeight="1" x14ac:dyDescent="0.2">
      <c r="A61" s="17"/>
      <c r="B61" s="20"/>
      <c r="C61" s="5" t="s">
        <v>23</v>
      </c>
    </row>
    <row r="62" spans="1:13" s="5" customFormat="1" ht="20.100000000000001" customHeight="1" x14ac:dyDescent="0.2">
      <c r="A62" s="17"/>
      <c r="B62" s="21"/>
      <c r="C62" s="5" t="s">
        <v>6</v>
      </c>
    </row>
    <row r="65" spans="1:12" s="6" customFormat="1" ht="20.100000000000001" customHeight="1" x14ac:dyDescent="0.2">
      <c r="A65" s="28" t="s">
        <v>26</v>
      </c>
      <c r="B65" s="6" t="s">
        <v>10</v>
      </c>
      <c r="C65" s="6" t="s">
        <v>11</v>
      </c>
      <c r="D65" s="6">
        <v>1</v>
      </c>
      <c r="E65" s="6">
        <v>1</v>
      </c>
      <c r="F65" s="6">
        <v>1</v>
      </c>
      <c r="G65" s="6">
        <v>1</v>
      </c>
      <c r="H65" s="6">
        <v>1</v>
      </c>
      <c r="I65" s="6">
        <v>1</v>
      </c>
      <c r="J65" s="6">
        <v>1</v>
      </c>
      <c r="K65" s="6">
        <v>1</v>
      </c>
      <c r="L65" s="6">
        <v>0</v>
      </c>
    </row>
    <row r="66" spans="1:12" s="4" customFormat="1" ht="20.100000000000001" customHeight="1" x14ac:dyDescent="0.2">
      <c r="A66" s="29"/>
      <c r="B66" s="4" t="s">
        <v>133</v>
      </c>
      <c r="C66" s="4" t="s">
        <v>136</v>
      </c>
      <c r="D66" s="4">
        <v>1</v>
      </c>
      <c r="E66" s="4">
        <v>1</v>
      </c>
      <c r="F66" s="4">
        <v>1</v>
      </c>
      <c r="G66" s="4">
        <v>1</v>
      </c>
      <c r="H66" s="4">
        <v>1</v>
      </c>
      <c r="I66" s="4">
        <v>1</v>
      </c>
      <c r="J66" s="4">
        <v>1</v>
      </c>
      <c r="K66" s="4">
        <v>1</v>
      </c>
      <c r="L66" s="4">
        <v>0</v>
      </c>
    </row>
    <row r="67" spans="1:12" s="4" customFormat="1" ht="20.100000000000001" customHeight="1" x14ac:dyDescent="0.2">
      <c r="A67" s="29"/>
      <c r="B67" s="4" t="s">
        <v>134</v>
      </c>
      <c r="C67" s="4" t="s">
        <v>136</v>
      </c>
      <c r="D67" s="4">
        <v>1</v>
      </c>
      <c r="E67" s="4">
        <v>1</v>
      </c>
      <c r="F67" s="4">
        <v>1</v>
      </c>
      <c r="G67" s="4">
        <v>1</v>
      </c>
      <c r="H67" s="4">
        <v>1</v>
      </c>
      <c r="I67" s="4">
        <v>1</v>
      </c>
      <c r="J67" s="4">
        <v>1</v>
      </c>
      <c r="K67" s="4">
        <v>1</v>
      </c>
      <c r="L67" s="4">
        <v>0</v>
      </c>
    </row>
    <row r="68" spans="1:12" s="5" customFormat="1" ht="20.100000000000001" customHeight="1" x14ac:dyDescent="0.2">
      <c r="A68" s="30"/>
      <c r="B68" s="5" t="s">
        <v>135</v>
      </c>
      <c r="C68" s="5" t="s">
        <v>136</v>
      </c>
      <c r="D68" s="5">
        <v>0</v>
      </c>
      <c r="E68" s="5">
        <v>0</v>
      </c>
      <c r="F68" s="5">
        <v>0</v>
      </c>
      <c r="G68" s="5">
        <v>0</v>
      </c>
      <c r="H68" s="5">
        <v>0</v>
      </c>
      <c r="I68" s="5">
        <v>0</v>
      </c>
      <c r="J68" s="5">
        <v>0</v>
      </c>
      <c r="K68" s="5">
        <v>1</v>
      </c>
      <c r="L68" s="5">
        <v>0</v>
      </c>
    </row>
  </sheetData>
  <mergeCells count="17">
    <mergeCell ref="A65:A68"/>
    <mergeCell ref="B44:B46"/>
    <mergeCell ref="A20:A50"/>
    <mergeCell ref="B11:B13"/>
    <mergeCell ref="A52:A62"/>
    <mergeCell ref="A7:A18"/>
    <mergeCell ref="B7:B10"/>
    <mergeCell ref="B20:B23"/>
    <mergeCell ref="B25:B28"/>
    <mergeCell ref="B56:B58"/>
    <mergeCell ref="B52:B55"/>
    <mergeCell ref="B15:B18"/>
    <mergeCell ref="B60:B62"/>
    <mergeCell ref="B30:B33"/>
    <mergeCell ref="B35:B38"/>
    <mergeCell ref="B40:B42"/>
    <mergeCell ref="B48:B50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FD55C-7A05-4B85-B3F0-CE35E1F4B422}">
  <dimension ref="A1:Q67"/>
  <sheetViews>
    <sheetView topLeftCell="A13" workbookViewId="0">
      <pane xSplit="3" topLeftCell="D1" activePane="topRight" state="frozen"/>
      <selection pane="topRight" activeCell="Q31" sqref="Q31"/>
    </sheetView>
  </sheetViews>
  <sheetFormatPr defaultColWidth="16.625" defaultRowHeight="20.100000000000001" customHeight="1" x14ac:dyDescent="0.2"/>
  <cols>
    <col min="1" max="3" width="16.625" style="2"/>
  </cols>
  <sheetData>
    <row r="1" spans="1:17" ht="20.100000000000001" customHeight="1" x14ac:dyDescent="0.2">
      <c r="D1" s="2"/>
      <c r="E1" s="2"/>
    </row>
    <row r="2" spans="1:17" ht="20.100000000000001" customHeight="1" x14ac:dyDescent="0.2">
      <c r="D2" s="2"/>
      <c r="E2" s="2"/>
    </row>
    <row r="3" spans="1:17" ht="20.100000000000001" customHeight="1" x14ac:dyDescent="0.2">
      <c r="D3" s="2" t="s">
        <v>0</v>
      </c>
      <c r="E3" s="2"/>
    </row>
    <row r="4" spans="1:17" s="11" customFormat="1" ht="20.100000000000001" customHeight="1" x14ac:dyDescent="0.2">
      <c r="A4" s="1"/>
      <c r="B4" s="1"/>
      <c r="C4" s="1"/>
      <c r="D4" s="1" t="s">
        <v>41</v>
      </c>
      <c r="E4" s="1" t="s">
        <v>42</v>
      </c>
      <c r="F4" s="1" t="s">
        <v>43</v>
      </c>
      <c r="G4" s="1" t="s">
        <v>44</v>
      </c>
      <c r="H4" s="1" t="s">
        <v>45</v>
      </c>
      <c r="I4" s="1" t="s">
        <v>46</v>
      </c>
      <c r="J4" s="1" t="s">
        <v>47</v>
      </c>
      <c r="K4" s="1" t="s">
        <v>48</v>
      </c>
      <c r="L4" s="1" t="s">
        <v>49</v>
      </c>
      <c r="M4" s="1" t="s">
        <v>50</v>
      </c>
      <c r="N4" s="1" t="s">
        <v>51</v>
      </c>
      <c r="O4" s="1" t="s">
        <v>52</v>
      </c>
      <c r="P4" s="1" t="s">
        <v>53</v>
      </c>
      <c r="Q4" s="1" t="s">
        <v>54</v>
      </c>
    </row>
    <row r="5" spans="1:17" s="11" customFormat="1" ht="20.100000000000001" customHeight="1" x14ac:dyDescent="0.2">
      <c r="A5" s="1"/>
      <c r="B5" s="1"/>
      <c r="C5" s="1" t="s">
        <v>125</v>
      </c>
      <c r="D5" s="1">
        <v>2</v>
      </c>
      <c r="E5" s="1">
        <v>2</v>
      </c>
      <c r="F5" s="1">
        <v>2</v>
      </c>
      <c r="G5" s="1">
        <v>2</v>
      </c>
      <c r="H5" s="1">
        <v>2</v>
      </c>
      <c r="I5" s="1">
        <v>2</v>
      </c>
      <c r="J5" s="1">
        <v>2</v>
      </c>
      <c r="K5" s="1">
        <v>2</v>
      </c>
      <c r="L5" s="1">
        <v>2</v>
      </c>
      <c r="M5" s="1">
        <v>2</v>
      </c>
      <c r="N5" s="1">
        <v>2</v>
      </c>
      <c r="O5" s="1">
        <v>2</v>
      </c>
      <c r="P5" s="1">
        <v>2</v>
      </c>
      <c r="Q5" s="1">
        <v>2</v>
      </c>
    </row>
    <row r="6" spans="1:17" s="11" customFormat="1" ht="20.100000000000001" customHeight="1" x14ac:dyDescent="0.2">
      <c r="A6" s="1"/>
      <c r="B6" s="1"/>
      <c r="C6" s="1" t="s">
        <v>126</v>
      </c>
      <c r="D6" s="1">
        <v>1</v>
      </c>
      <c r="E6" s="1">
        <v>1</v>
      </c>
      <c r="F6" s="1">
        <v>1</v>
      </c>
      <c r="G6" s="1">
        <v>1</v>
      </c>
      <c r="H6" s="1">
        <v>2</v>
      </c>
      <c r="I6" s="1">
        <v>2</v>
      </c>
      <c r="J6" s="1">
        <v>2</v>
      </c>
      <c r="K6" s="1">
        <v>3</v>
      </c>
      <c r="L6" s="1">
        <v>3</v>
      </c>
      <c r="M6" s="1" t="s">
        <v>129</v>
      </c>
      <c r="N6" s="1">
        <v>3</v>
      </c>
      <c r="O6" s="1">
        <v>4</v>
      </c>
      <c r="P6" s="1">
        <v>4</v>
      </c>
      <c r="Q6" s="1">
        <v>4</v>
      </c>
    </row>
    <row r="7" spans="1:17" s="3" customFormat="1" ht="20.100000000000001" customHeight="1" x14ac:dyDescent="0.2">
      <c r="A7" s="18" t="s">
        <v>138</v>
      </c>
      <c r="B7" s="16" t="s">
        <v>24</v>
      </c>
      <c r="C7" s="3" t="s">
        <v>6</v>
      </c>
      <c r="D7" s="3">
        <v>17</v>
      </c>
      <c r="E7" s="3">
        <v>18</v>
      </c>
      <c r="F7" s="3">
        <v>13</v>
      </c>
      <c r="G7" s="3">
        <v>14</v>
      </c>
      <c r="H7" s="3">
        <v>20</v>
      </c>
      <c r="I7" s="3">
        <v>19</v>
      </c>
      <c r="J7" s="3">
        <v>21</v>
      </c>
      <c r="K7" s="3">
        <v>23</v>
      </c>
      <c r="L7" s="3">
        <v>23</v>
      </c>
      <c r="M7" s="3">
        <v>25</v>
      </c>
      <c r="N7" s="3">
        <v>24</v>
      </c>
      <c r="O7" s="3">
        <v>28</v>
      </c>
      <c r="P7" s="3">
        <v>32</v>
      </c>
      <c r="Q7" s="3">
        <v>26</v>
      </c>
    </row>
    <row r="8" spans="1:17" s="3" customFormat="1" ht="20.100000000000001" customHeight="1" x14ac:dyDescent="0.2">
      <c r="A8" s="18"/>
      <c r="B8" s="16"/>
      <c r="C8" s="3" t="s">
        <v>7</v>
      </c>
      <c r="D8" s="3">
        <v>200</v>
      </c>
      <c r="E8" s="3">
        <v>250</v>
      </c>
      <c r="F8" s="3">
        <v>250</v>
      </c>
      <c r="G8" s="3">
        <v>200</v>
      </c>
      <c r="H8" s="3">
        <v>500</v>
      </c>
      <c r="I8" s="3">
        <v>300</v>
      </c>
      <c r="J8" s="3">
        <v>450</v>
      </c>
      <c r="K8" s="3">
        <v>600</v>
      </c>
      <c r="L8" s="3">
        <v>400</v>
      </c>
      <c r="M8" s="3">
        <v>900</v>
      </c>
      <c r="N8" s="3">
        <v>800</v>
      </c>
      <c r="O8" s="3">
        <v>800</v>
      </c>
      <c r="P8" s="3">
        <v>1000</v>
      </c>
      <c r="Q8" s="3">
        <v>700</v>
      </c>
    </row>
    <row r="9" spans="1:17" s="3" customFormat="1" ht="20.100000000000001" customHeight="1" x14ac:dyDescent="0.2">
      <c r="A9" s="18"/>
      <c r="B9" s="16"/>
      <c r="C9" s="3" t="s">
        <v>8</v>
      </c>
      <c r="D9" s="3">
        <v>6</v>
      </c>
      <c r="E9" s="3">
        <v>6</v>
      </c>
      <c r="F9" s="3">
        <v>6</v>
      </c>
      <c r="G9" s="3">
        <v>6</v>
      </c>
      <c r="H9" s="3">
        <v>8</v>
      </c>
      <c r="I9" s="3">
        <v>8</v>
      </c>
      <c r="J9" s="3">
        <v>8</v>
      </c>
      <c r="K9" s="3">
        <v>9</v>
      </c>
      <c r="L9" s="3">
        <v>8</v>
      </c>
      <c r="M9" s="3">
        <v>10</v>
      </c>
      <c r="N9" s="3">
        <v>9</v>
      </c>
      <c r="O9" s="3">
        <v>10</v>
      </c>
      <c r="P9" s="3">
        <v>8</v>
      </c>
      <c r="Q9" s="3">
        <v>11</v>
      </c>
    </row>
    <row r="10" spans="1:17" s="3" customFormat="1" ht="20.100000000000001" customHeight="1" x14ac:dyDescent="0.2">
      <c r="A10" s="18"/>
      <c r="B10" s="16"/>
      <c r="C10" s="3" t="s">
        <v>9</v>
      </c>
      <c r="D10" s="3" t="s">
        <v>27</v>
      </c>
      <c r="E10" s="3" t="s">
        <v>27</v>
      </c>
      <c r="F10" s="3" t="s">
        <v>27</v>
      </c>
      <c r="G10" s="3" t="s">
        <v>27</v>
      </c>
      <c r="H10" s="3" t="s">
        <v>27</v>
      </c>
      <c r="I10" s="3" t="s">
        <v>27</v>
      </c>
      <c r="J10" s="3" t="s">
        <v>27</v>
      </c>
      <c r="K10" s="3" t="s">
        <v>27</v>
      </c>
      <c r="L10" s="3" t="s">
        <v>27</v>
      </c>
      <c r="M10" s="3" t="s">
        <v>139</v>
      </c>
      <c r="N10" s="3" t="s">
        <v>139</v>
      </c>
      <c r="O10" s="3" t="s">
        <v>139</v>
      </c>
      <c r="P10" s="3" t="s">
        <v>139</v>
      </c>
      <c r="Q10" s="3" t="s">
        <v>139</v>
      </c>
    </row>
    <row r="11" spans="1:17" s="3" customFormat="1" ht="20.100000000000001" customHeight="1" x14ac:dyDescent="0.2">
      <c r="A11" s="18"/>
      <c r="B11" s="16" t="s">
        <v>30</v>
      </c>
      <c r="C11" s="3">
        <v>1</v>
      </c>
    </row>
    <row r="12" spans="1:17" s="3" customFormat="1" ht="20.100000000000001" customHeight="1" x14ac:dyDescent="0.2">
      <c r="A12" s="18"/>
      <c r="B12" s="16"/>
      <c r="C12" s="3">
        <v>2</v>
      </c>
    </row>
    <row r="13" spans="1:17" s="3" customFormat="1" ht="20.100000000000001" customHeight="1" x14ac:dyDescent="0.2">
      <c r="A13" s="18"/>
      <c r="B13" s="16"/>
      <c r="C13" s="3">
        <v>3</v>
      </c>
    </row>
    <row r="14" spans="1:17" s="2" customFormat="1" ht="20.100000000000001" customHeight="1" x14ac:dyDescent="0.2">
      <c r="A14" s="18"/>
    </row>
    <row r="15" spans="1:17" s="3" customFormat="1" ht="20.100000000000001" customHeight="1" x14ac:dyDescent="0.2">
      <c r="A15" s="18"/>
      <c r="B15" s="22" t="s">
        <v>1</v>
      </c>
      <c r="C15" s="3" t="s">
        <v>2</v>
      </c>
      <c r="D15" s="3">
        <v>0.1</v>
      </c>
      <c r="E15" s="3">
        <v>-0.3</v>
      </c>
      <c r="F15" s="3">
        <v>0</v>
      </c>
      <c r="G15" s="3">
        <v>0.1</v>
      </c>
      <c r="H15" s="3">
        <v>0.1</v>
      </c>
      <c r="I15" s="3">
        <v>0</v>
      </c>
      <c r="J15" s="3">
        <v>-0.2</v>
      </c>
      <c r="K15" s="3">
        <v>0.2</v>
      </c>
      <c r="L15" s="3">
        <v>0.2</v>
      </c>
      <c r="M15" s="3">
        <v>0.3</v>
      </c>
      <c r="N15" s="3">
        <v>0.2</v>
      </c>
      <c r="O15" s="3">
        <v>0.3</v>
      </c>
      <c r="P15" s="3">
        <v>0.4</v>
      </c>
      <c r="Q15" s="3">
        <v>0.1</v>
      </c>
    </row>
    <row r="16" spans="1:17" s="3" customFormat="1" ht="20.100000000000001" customHeight="1" x14ac:dyDescent="0.2">
      <c r="A16" s="18"/>
      <c r="B16" s="23"/>
      <c r="C16" s="3" t="s">
        <v>3</v>
      </c>
      <c r="D16" s="3">
        <v>0.1</v>
      </c>
      <c r="E16" s="3">
        <v>0.3</v>
      </c>
      <c r="F16" s="3">
        <v>0.15</v>
      </c>
      <c r="G16" s="3">
        <v>0.2</v>
      </c>
      <c r="H16" s="3">
        <v>0.2</v>
      </c>
      <c r="I16" s="3">
        <v>0.2</v>
      </c>
      <c r="J16" s="3">
        <v>0.3</v>
      </c>
      <c r="K16" s="3">
        <v>0.3</v>
      </c>
      <c r="L16" s="3">
        <v>0</v>
      </c>
      <c r="M16" s="3">
        <v>0.35</v>
      </c>
      <c r="N16" s="3">
        <v>0.25</v>
      </c>
      <c r="O16" s="3">
        <v>0.35</v>
      </c>
      <c r="P16" s="3">
        <v>0.35</v>
      </c>
      <c r="Q16" s="3">
        <v>0.25</v>
      </c>
    </row>
    <row r="17" spans="1:17" s="3" customFormat="1" ht="20.100000000000001" customHeight="1" x14ac:dyDescent="0.2">
      <c r="A17" s="18"/>
      <c r="B17" s="23"/>
      <c r="C17" s="3" t="s">
        <v>4</v>
      </c>
      <c r="D17" s="3">
        <v>0</v>
      </c>
      <c r="E17" s="3">
        <v>0.1</v>
      </c>
      <c r="F17" s="3">
        <v>0.2</v>
      </c>
      <c r="G17" s="3">
        <v>0</v>
      </c>
      <c r="H17" s="3">
        <v>0.1</v>
      </c>
      <c r="I17" s="3">
        <v>0</v>
      </c>
      <c r="J17" s="3">
        <v>0.05</v>
      </c>
      <c r="K17" s="3">
        <v>0.05</v>
      </c>
      <c r="L17" s="3">
        <v>-0.2</v>
      </c>
      <c r="M17" s="3">
        <v>0</v>
      </c>
      <c r="N17" s="3">
        <v>0.1</v>
      </c>
      <c r="O17" s="3">
        <v>0.05</v>
      </c>
      <c r="P17" s="3">
        <v>0</v>
      </c>
      <c r="Q17" s="3">
        <v>0.25</v>
      </c>
    </row>
    <row r="18" spans="1:17" s="3" customFormat="1" ht="20.100000000000001" customHeight="1" x14ac:dyDescent="0.2">
      <c r="A18" s="18"/>
      <c r="B18" s="24"/>
      <c r="C18" s="3" t="s">
        <v>5</v>
      </c>
      <c r="D18" s="3">
        <v>0</v>
      </c>
      <c r="E18" s="3">
        <v>0.2</v>
      </c>
      <c r="F18" s="3">
        <v>0</v>
      </c>
      <c r="G18" s="3">
        <v>0.3</v>
      </c>
      <c r="H18" s="3">
        <v>0.15</v>
      </c>
      <c r="I18" s="3">
        <v>0.3</v>
      </c>
      <c r="J18" s="3">
        <v>0.1</v>
      </c>
      <c r="K18" s="3">
        <v>0.2</v>
      </c>
      <c r="L18" s="3">
        <v>0.4</v>
      </c>
      <c r="M18" s="3">
        <v>0.2</v>
      </c>
      <c r="N18" s="3">
        <v>0</v>
      </c>
      <c r="O18" s="3">
        <v>0.3</v>
      </c>
      <c r="P18" s="3">
        <v>0</v>
      </c>
      <c r="Q18" s="3">
        <v>0.35</v>
      </c>
    </row>
    <row r="19" spans="1:17" s="2" customFormat="1" ht="20.100000000000001" customHeight="1" x14ac:dyDescent="0.2">
      <c r="B19" s="10"/>
      <c r="C19" s="10"/>
      <c r="D19" s="10"/>
      <c r="E19" s="10"/>
    </row>
    <row r="20" spans="1:17" s="4" customFormat="1" ht="20.100000000000001" customHeight="1" x14ac:dyDescent="0.2">
      <c r="A20" s="19" t="s">
        <v>132</v>
      </c>
      <c r="B20" s="34" t="s">
        <v>12</v>
      </c>
      <c r="C20" s="4" t="s">
        <v>13</v>
      </c>
      <c r="D20" s="4">
        <v>3</v>
      </c>
      <c r="E20" s="4">
        <v>3</v>
      </c>
      <c r="F20" s="4">
        <v>4</v>
      </c>
      <c r="G20" s="4">
        <v>3</v>
      </c>
      <c r="H20" s="4">
        <v>4</v>
      </c>
      <c r="I20" s="4">
        <v>4</v>
      </c>
      <c r="J20" s="4">
        <v>3</v>
      </c>
      <c r="K20" s="4">
        <v>4</v>
      </c>
      <c r="L20" s="4">
        <v>4</v>
      </c>
      <c r="M20" s="4">
        <v>5</v>
      </c>
      <c r="N20" s="4">
        <v>4</v>
      </c>
      <c r="O20" s="4">
        <v>5</v>
      </c>
      <c r="P20" s="4">
        <v>5</v>
      </c>
      <c r="Q20" s="4">
        <v>5</v>
      </c>
    </row>
    <row r="21" spans="1:17" s="4" customFormat="1" ht="20.100000000000001" customHeight="1" x14ac:dyDescent="0.2">
      <c r="A21" s="19"/>
      <c r="B21" s="34"/>
      <c r="C21" s="4" t="s">
        <v>7</v>
      </c>
      <c r="D21" s="4">
        <f>0.7*D26</f>
        <v>140</v>
      </c>
      <c r="E21" s="4">
        <f t="shared" ref="E21:Q21" si="0">0.7*E26</f>
        <v>175</v>
      </c>
      <c r="F21" s="4">
        <f t="shared" si="0"/>
        <v>175</v>
      </c>
      <c r="G21" s="4">
        <f t="shared" si="0"/>
        <v>140</v>
      </c>
      <c r="H21" s="4">
        <f t="shared" si="0"/>
        <v>350</v>
      </c>
      <c r="I21" s="4">
        <f t="shared" si="0"/>
        <v>210</v>
      </c>
      <c r="J21" s="4">
        <f t="shared" si="0"/>
        <v>315</v>
      </c>
      <c r="K21" s="4">
        <f t="shared" si="0"/>
        <v>420</v>
      </c>
      <c r="L21" s="4">
        <f t="shared" si="0"/>
        <v>280</v>
      </c>
      <c r="M21" s="4">
        <f t="shared" si="0"/>
        <v>630</v>
      </c>
      <c r="N21" s="4">
        <f t="shared" si="0"/>
        <v>560</v>
      </c>
      <c r="O21" s="4">
        <f t="shared" si="0"/>
        <v>560</v>
      </c>
      <c r="P21" s="4">
        <f t="shared" si="0"/>
        <v>700</v>
      </c>
      <c r="Q21" s="4">
        <f t="shared" si="0"/>
        <v>489.99999999999994</v>
      </c>
    </row>
    <row r="22" spans="1:17" s="4" customFormat="1" ht="20.100000000000001" customHeight="1" x14ac:dyDescent="0.2">
      <c r="A22" s="19"/>
      <c r="B22" s="34"/>
      <c r="C22" s="4" t="s">
        <v>14</v>
      </c>
      <c r="D22" s="4">
        <v>1</v>
      </c>
      <c r="E22" s="4">
        <v>1</v>
      </c>
      <c r="F22" s="4">
        <v>1</v>
      </c>
      <c r="G22" s="4">
        <v>1</v>
      </c>
      <c r="H22" s="4">
        <v>1</v>
      </c>
      <c r="I22" s="4">
        <v>2</v>
      </c>
      <c r="J22" s="4">
        <v>1</v>
      </c>
      <c r="K22" s="4">
        <v>2</v>
      </c>
      <c r="L22" s="4">
        <v>2</v>
      </c>
      <c r="M22" s="4">
        <v>2</v>
      </c>
      <c r="N22" s="4">
        <v>2</v>
      </c>
      <c r="O22" s="4">
        <v>2</v>
      </c>
      <c r="P22" s="4">
        <v>2</v>
      </c>
      <c r="Q22" s="4">
        <v>2</v>
      </c>
    </row>
    <row r="23" spans="1:17" s="4" customFormat="1" ht="20.100000000000001" customHeight="1" x14ac:dyDescent="0.2">
      <c r="A23" s="19"/>
      <c r="B23" s="34"/>
      <c r="C23" s="4" t="s">
        <v>15</v>
      </c>
    </row>
    <row r="24" spans="1:17" s="2" customFormat="1" ht="20.100000000000001" customHeight="1" x14ac:dyDescent="0.2">
      <c r="A24" s="19"/>
      <c r="B24" s="12"/>
      <c r="C24" s="10"/>
      <c r="D24" s="10"/>
      <c r="E24" s="10"/>
    </row>
    <row r="25" spans="1:17" s="4" customFormat="1" ht="20.100000000000001" customHeight="1" x14ac:dyDescent="0.2">
      <c r="A25" s="19"/>
      <c r="B25" s="34" t="s">
        <v>16</v>
      </c>
      <c r="C25" s="4" t="s">
        <v>13</v>
      </c>
      <c r="D25" s="4">
        <v>4</v>
      </c>
      <c r="E25" s="4">
        <v>4</v>
      </c>
      <c r="F25" s="4">
        <v>4</v>
      </c>
      <c r="G25" s="4">
        <v>4</v>
      </c>
      <c r="H25" s="4">
        <v>6</v>
      </c>
      <c r="I25" s="4">
        <v>5</v>
      </c>
      <c r="J25" s="4">
        <v>6</v>
      </c>
      <c r="K25" s="4">
        <v>6</v>
      </c>
      <c r="L25" s="4">
        <v>6</v>
      </c>
      <c r="M25" s="4">
        <v>7</v>
      </c>
      <c r="N25" s="4">
        <v>6</v>
      </c>
      <c r="O25" s="4">
        <v>7</v>
      </c>
      <c r="P25" s="4">
        <v>8</v>
      </c>
      <c r="Q25" s="4">
        <v>7</v>
      </c>
    </row>
    <row r="26" spans="1:17" s="4" customFormat="1" ht="20.100000000000001" customHeight="1" x14ac:dyDescent="0.2">
      <c r="A26" s="19"/>
      <c r="B26" s="34"/>
      <c r="C26" s="4" t="s">
        <v>7</v>
      </c>
      <c r="D26" s="4">
        <f t="shared" ref="D26:Q26" si="1">D8</f>
        <v>200</v>
      </c>
      <c r="E26" s="4">
        <f t="shared" si="1"/>
        <v>250</v>
      </c>
      <c r="F26" s="4">
        <f t="shared" si="1"/>
        <v>250</v>
      </c>
      <c r="G26" s="4">
        <f t="shared" si="1"/>
        <v>200</v>
      </c>
      <c r="H26" s="4">
        <f t="shared" si="1"/>
        <v>500</v>
      </c>
      <c r="I26" s="4">
        <f t="shared" si="1"/>
        <v>300</v>
      </c>
      <c r="J26" s="4">
        <f t="shared" si="1"/>
        <v>450</v>
      </c>
      <c r="K26" s="4">
        <f t="shared" si="1"/>
        <v>600</v>
      </c>
      <c r="L26" s="4">
        <f t="shared" si="1"/>
        <v>400</v>
      </c>
      <c r="M26" s="4">
        <f t="shared" si="1"/>
        <v>900</v>
      </c>
      <c r="N26" s="4">
        <f t="shared" si="1"/>
        <v>800</v>
      </c>
      <c r="O26" s="4">
        <f t="shared" si="1"/>
        <v>800</v>
      </c>
      <c r="P26" s="4">
        <f t="shared" si="1"/>
        <v>1000</v>
      </c>
      <c r="Q26" s="4">
        <f t="shared" si="1"/>
        <v>700</v>
      </c>
    </row>
    <row r="27" spans="1:17" s="4" customFormat="1" ht="20.100000000000001" customHeight="1" x14ac:dyDescent="0.2">
      <c r="A27" s="19"/>
      <c r="B27" s="34"/>
      <c r="C27" s="4" t="s">
        <v>14</v>
      </c>
      <c r="D27" s="4">
        <v>1</v>
      </c>
      <c r="E27" s="4">
        <v>1</v>
      </c>
      <c r="F27" s="4">
        <v>1</v>
      </c>
      <c r="G27" s="4">
        <v>1</v>
      </c>
      <c r="H27" s="4">
        <v>1</v>
      </c>
      <c r="I27" s="4">
        <v>1</v>
      </c>
      <c r="J27" s="4">
        <v>1</v>
      </c>
      <c r="K27" s="4">
        <v>2</v>
      </c>
      <c r="L27" s="4">
        <v>2</v>
      </c>
      <c r="M27" s="4">
        <v>2</v>
      </c>
      <c r="N27" s="4">
        <v>2</v>
      </c>
      <c r="O27" s="4">
        <v>2</v>
      </c>
      <c r="P27" s="4">
        <v>4</v>
      </c>
      <c r="Q27" s="4">
        <v>2</v>
      </c>
    </row>
    <row r="28" spans="1:17" s="4" customFormat="1" ht="20.100000000000001" customHeight="1" x14ac:dyDescent="0.2">
      <c r="A28" s="19"/>
      <c r="B28" s="34"/>
      <c r="C28" s="4" t="s">
        <v>15</v>
      </c>
    </row>
    <row r="29" spans="1:17" s="2" customFormat="1" ht="20.100000000000001" customHeight="1" x14ac:dyDescent="0.2">
      <c r="A29" s="19"/>
      <c r="B29" s="13"/>
      <c r="C29" s="9"/>
      <c r="D29" s="9"/>
      <c r="E29" s="9"/>
    </row>
    <row r="30" spans="1:17" s="4" customFormat="1" ht="20.100000000000001" customHeight="1" x14ac:dyDescent="0.2">
      <c r="A30" s="19"/>
      <c r="B30" s="35" t="s">
        <v>17</v>
      </c>
      <c r="C30" s="4" t="s">
        <v>13</v>
      </c>
      <c r="D30" s="4">
        <v>4</v>
      </c>
      <c r="E30" s="4">
        <v>4</v>
      </c>
      <c r="F30" s="4">
        <v>4</v>
      </c>
      <c r="G30" s="4">
        <v>4</v>
      </c>
      <c r="H30" s="4">
        <v>5</v>
      </c>
      <c r="I30" s="4">
        <v>4</v>
      </c>
      <c r="J30" s="4">
        <v>5</v>
      </c>
      <c r="K30" s="4">
        <v>5</v>
      </c>
      <c r="L30" s="4">
        <v>5</v>
      </c>
      <c r="M30" s="4">
        <v>6</v>
      </c>
      <c r="N30" s="4">
        <v>5</v>
      </c>
      <c r="O30" s="4">
        <v>6</v>
      </c>
      <c r="P30" s="4">
        <v>6</v>
      </c>
      <c r="Q30" s="4">
        <v>6</v>
      </c>
    </row>
    <row r="31" spans="1:17" s="4" customFormat="1" ht="20.100000000000001" customHeight="1" x14ac:dyDescent="0.2">
      <c r="A31" s="19"/>
      <c r="B31" s="36"/>
      <c r="C31" s="4" t="s">
        <v>7</v>
      </c>
      <c r="D31" s="4">
        <f>0.9*D26</f>
        <v>180</v>
      </c>
      <c r="E31" s="4">
        <f t="shared" ref="E31:Q31" si="2">0.9*E26</f>
        <v>225</v>
      </c>
      <c r="F31" s="4">
        <f t="shared" si="2"/>
        <v>225</v>
      </c>
      <c r="G31" s="4">
        <f t="shared" si="2"/>
        <v>180</v>
      </c>
      <c r="H31" s="4">
        <f t="shared" si="2"/>
        <v>450</v>
      </c>
      <c r="I31" s="4">
        <f t="shared" si="2"/>
        <v>270</v>
      </c>
      <c r="J31" s="4">
        <f t="shared" si="2"/>
        <v>405</v>
      </c>
      <c r="K31" s="4">
        <f t="shared" si="2"/>
        <v>540</v>
      </c>
      <c r="L31" s="4">
        <f t="shared" si="2"/>
        <v>360</v>
      </c>
      <c r="M31" s="4">
        <f t="shared" si="2"/>
        <v>810</v>
      </c>
      <c r="N31" s="4">
        <f t="shared" si="2"/>
        <v>720</v>
      </c>
      <c r="O31" s="4">
        <f t="shared" si="2"/>
        <v>720</v>
      </c>
      <c r="P31" s="4">
        <f t="shared" si="2"/>
        <v>900</v>
      </c>
      <c r="Q31" s="4">
        <f t="shared" si="2"/>
        <v>630</v>
      </c>
    </row>
    <row r="32" spans="1:17" s="4" customFormat="1" ht="20.100000000000001" customHeight="1" x14ac:dyDescent="0.2">
      <c r="A32" s="19"/>
      <c r="B32" s="36"/>
      <c r="C32" s="4" t="s">
        <v>14</v>
      </c>
      <c r="D32" s="4">
        <v>1</v>
      </c>
      <c r="E32" s="4">
        <v>1</v>
      </c>
      <c r="F32" s="4">
        <v>1</v>
      </c>
      <c r="G32" s="4">
        <v>1</v>
      </c>
      <c r="H32" s="4">
        <v>1</v>
      </c>
      <c r="I32" s="4">
        <v>1</v>
      </c>
      <c r="J32" s="4">
        <v>1</v>
      </c>
      <c r="K32" s="4">
        <v>2</v>
      </c>
      <c r="L32" s="4">
        <v>2</v>
      </c>
      <c r="M32" s="4">
        <v>2</v>
      </c>
      <c r="N32" s="4">
        <v>2</v>
      </c>
      <c r="O32" s="4">
        <v>2</v>
      </c>
      <c r="P32" s="4">
        <v>2</v>
      </c>
      <c r="Q32" s="4">
        <v>2</v>
      </c>
    </row>
    <row r="33" spans="1:17" s="4" customFormat="1" ht="20.100000000000001" customHeight="1" x14ac:dyDescent="0.2">
      <c r="A33" s="19"/>
      <c r="B33" s="37"/>
      <c r="C33" s="4" t="s">
        <v>15</v>
      </c>
    </row>
    <row r="34" spans="1:17" s="2" customFormat="1" ht="20.100000000000001" customHeight="1" x14ac:dyDescent="0.2">
      <c r="A34" s="19"/>
      <c r="B34" s="14"/>
      <c r="C34" s="1"/>
      <c r="D34" s="1"/>
      <c r="E34" s="1"/>
    </row>
    <row r="35" spans="1:17" s="4" customFormat="1" ht="20.100000000000001" customHeight="1" x14ac:dyDescent="0.2">
      <c r="A35" s="19"/>
      <c r="B35" s="35" t="s">
        <v>18</v>
      </c>
      <c r="C35" s="4" t="s">
        <v>13</v>
      </c>
      <c r="D35" s="4">
        <v>2</v>
      </c>
      <c r="E35" s="4">
        <v>2</v>
      </c>
      <c r="F35" s="4">
        <v>2</v>
      </c>
      <c r="G35" s="4">
        <v>3</v>
      </c>
      <c r="H35" s="4">
        <v>3</v>
      </c>
      <c r="I35" s="4">
        <v>3</v>
      </c>
      <c r="J35" s="4">
        <v>2</v>
      </c>
      <c r="K35" s="4">
        <v>3</v>
      </c>
      <c r="L35" s="4">
        <v>3</v>
      </c>
      <c r="M35" s="4">
        <v>4</v>
      </c>
      <c r="N35" s="4">
        <v>3</v>
      </c>
      <c r="O35" s="4">
        <v>4</v>
      </c>
      <c r="P35" s="4">
        <v>4</v>
      </c>
      <c r="Q35" s="4">
        <v>4</v>
      </c>
    </row>
    <row r="36" spans="1:17" s="4" customFormat="1" ht="20.100000000000001" customHeight="1" x14ac:dyDescent="0.2">
      <c r="A36" s="19"/>
      <c r="B36" s="36"/>
      <c r="C36" s="4" t="s">
        <v>7</v>
      </c>
      <c r="D36" s="4">
        <f>0.6*D26</f>
        <v>120</v>
      </c>
      <c r="E36" s="4">
        <f t="shared" ref="E36:Q36" si="3">0.6*E26</f>
        <v>150</v>
      </c>
      <c r="F36" s="4">
        <f t="shared" si="3"/>
        <v>150</v>
      </c>
      <c r="G36" s="4">
        <f t="shared" si="3"/>
        <v>120</v>
      </c>
      <c r="H36" s="4">
        <f t="shared" si="3"/>
        <v>300</v>
      </c>
      <c r="I36" s="4">
        <f t="shared" si="3"/>
        <v>180</v>
      </c>
      <c r="J36" s="4">
        <f t="shared" si="3"/>
        <v>270</v>
      </c>
      <c r="K36" s="4">
        <f t="shared" si="3"/>
        <v>360</v>
      </c>
      <c r="L36" s="4">
        <f t="shared" si="3"/>
        <v>240</v>
      </c>
      <c r="M36" s="4">
        <f t="shared" si="3"/>
        <v>540</v>
      </c>
      <c r="N36" s="4">
        <f t="shared" si="3"/>
        <v>480</v>
      </c>
      <c r="O36" s="4">
        <f t="shared" si="3"/>
        <v>480</v>
      </c>
      <c r="P36" s="4">
        <f t="shared" si="3"/>
        <v>600</v>
      </c>
      <c r="Q36" s="4">
        <f t="shared" si="3"/>
        <v>420</v>
      </c>
    </row>
    <row r="37" spans="1:17" s="4" customFormat="1" ht="20.100000000000001" customHeight="1" x14ac:dyDescent="0.2">
      <c r="A37" s="19"/>
      <c r="B37" s="36"/>
      <c r="C37" s="4" t="s">
        <v>14</v>
      </c>
      <c r="D37" s="4">
        <v>1</v>
      </c>
      <c r="E37" s="4">
        <v>1</v>
      </c>
      <c r="F37" s="4">
        <v>1</v>
      </c>
      <c r="G37" s="4">
        <v>1</v>
      </c>
      <c r="H37" s="4">
        <v>1</v>
      </c>
      <c r="I37" s="4">
        <v>2</v>
      </c>
      <c r="J37" s="4">
        <v>1</v>
      </c>
      <c r="K37" s="4">
        <v>2</v>
      </c>
      <c r="L37" s="4">
        <v>2</v>
      </c>
      <c r="M37" s="4">
        <v>2</v>
      </c>
      <c r="N37" s="4">
        <v>2</v>
      </c>
      <c r="O37" s="4">
        <v>2</v>
      </c>
      <c r="P37" s="4">
        <v>2</v>
      </c>
      <c r="Q37" s="4">
        <v>2</v>
      </c>
    </row>
    <row r="38" spans="1:17" s="4" customFormat="1" ht="20.100000000000001" customHeight="1" x14ac:dyDescent="0.2">
      <c r="A38" s="19"/>
      <c r="B38" s="37"/>
      <c r="C38" s="4" t="s">
        <v>15</v>
      </c>
    </row>
    <row r="39" spans="1:17" s="2" customFormat="1" ht="20.100000000000001" customHeight="1" x14ac:dyDescent="0.2">
      <c r="A39" s="19"/>
      <c r="B39" s="14"/>
      <c r="C39" s="1"/>
      <c r="D39" s="1"/>
      <c r="E39" s="1"/>
    </row>
    <row r="40" spans="1:17" s="4" customFormat="1" ht="20.100000000000001" customHeight="1" x14ac:dyDescent="0.2">
      <c r="A40" s="19"/>
      <c r="B40" s="35" t="s">
        <v>19</v>
      </c>
      <c r="C40" s="4" t="s">
        <v>7</v>
      </c>
      <c r="D40" s="4">
        <f>0.9*D26</f>
        <v>180</v>
      </c>
      <c r="E40" s="4">
        <f t="shared" ref="E40:Q40" si="4">0.9*E26</f>
        <v>225</v>
      </c>
      <c r="F40" s="4">
        <f t="shared" si="4"/>
        <v>225</v>
      </c>
      <c r="G40" s="4">
        <f t="shared" si="4"/>
        <v>180</v>
      </c>
      <c r="H40" s="4">
        <f t="shared" si="4"/>
        <v>450</v>
      </c>
      <c r="I40" s="4">
        <f t="shared" si="4"/>
        <v>270</v>
      </c>
      <c r="J40" s="4">
        <f t="shared" si="4"/>
        <v>405</v>
      </c>
      <c r="K40" s="4">
        <f t="shared" si="4"/>
        <v>540</v>
      </c>
      <c r="L40" s="4">
        <f t="shared" si="4"/>
        <v>360</v>
      </c>
      <c r="M40" s="4">
        <f t="shared" si="4"/>
        <v>810</v>
      </c>
      <c r="N40" s="4">
        <f t="shared" si="4"/>
        <v>720</v>
      </c>
      <c r="O40" s="4">
        <f t="shared" si="4"/>
        <v>720</v>
      </c>
      <c r="P40" s="4">
        <f t="shared" si="4"/>
        <v>900</v>
      </c>
      <c r="Q40" s="4">
        <f t="shared" si="4"/>
        <v>630</v>
      </c>
    </row>
    <row r="41" spans="1:17" s="4" customFormat="1" ht="20.100000000000001" customHeight="1" x14ac:dyDescent="0.2">
      <c r="A41" s="19"/>
      <c r="B41" s="36"/>
      <c r="C41" s="4" t="s">
        <v>14</v>
      </c>
      <c r="D41" s="4">
        <v>1</v>
      </c>
      <c r="E41" s="4">
        <v>1</v>
      </c>
      <c r="F41" s="4">
        <v>1</v>
      </c>
      <c r="G41" s="4">
        <v>1</v>
      </c>
      <c r="H41" s="4">
        <v>1</v>
      </c>
      <c r="I41" s="4">
        <v>1</v>
      </c>
      <c r="J41" s="4">
        <v>1</v>
      </c>
      <c r="K41" s="4">
        <v>2</v>
      </c>
      <c r="L41" s="4">
        <v>2</v>
      </c>
      <c r="M41" s="4">
        <v>2</v>
      </c>
      <c r="N41" s="4">
        <v>2</v>
      </c>
      <c r="O41" s="4">
        <v>2</v>
      </c>
      <c r="P41" s="4">
        <v>2</v>
      </c>
      <c r="Q41" s="4">
        <v>2</v>
      </c>
    </row>
    <row r="42" spans="1:17" s="4" customFormat="1" ht="20.100000000000001" customHeight="1" x14ac:dyDescent="0.2">
      <c r="A42" s="19"/>
      <c r="B42" s="37"/>
      <c r="C42" s="4" t="s">
        <v>15</v>
      </c>
    </row>
    <row r="43" spans="1:17" s="2" customFormat="1" ht="20.100000000000001" customHeight="1" x14ac:dyDescent="0.2">
      <c r="A43" s="19"/>
      <c r="D43" s="7"/>
      <c r="E43" s="7"/>
    </row>
    <row r="44" spans="1:17" s="4" customFormat="1" ht="20.100000000000001" customHeight="1" x14ac:dyDescent="0.2">
      <c r="A44" s="19"/>
      <c r="B44" s="35" t="s">
        <v>30</v>
      </c>
      <c r="C44" s="4">
        <v>1</v>
      </c>
    </row>
    <row r="45" spans="1:17" s="4" customFormat="1" ht="20.100000000000001" customHeight="1" x14ac:dyDescent="0.2">
      <c r="A45" s="19"/>
      <c r="B45" s="36"/>
      <c r="C45" s="4">
        <v>2</v>
      </c>
    </row>
    <row r="46" spans="1:17" s="4" customFormat="1" ht="20.100000000000001" customHeight="1" x14ac:dyDescent="0.2">
      <c r="A46" s="19"/>
      <c r="B46" s="37"/>
      <c r="C46" s="4">
        <v>3</v>
      </c>
    </row>
    <row r="47" spans="1:17" s="2" customFormat="1" ht="20.100000000000001" customHeight="1" x14ac:dyDescent="0.2">
      <c r="A47" s="19"/>
      <c r="B47" s="15"/>
      <c r="C47" s="7"/>
      <c r="D47" s="8"/>
      <c r="E47" s="8"/>
    </row>
    <row r="48" spans="1:17" s="4" customFormat="1" ht="20.100000000000001" customHeight="1" x14ac:dyDescent="0.2">
      <c r="A48" s="19"/>
      <c r="B48" s="35" t="s">
        <v>28</v>
      </c>
      <c r="C48" s="4" t="s">
        <v>29</v>
      </c>
      <c r="D48" s="4">
        <f t="shared" ref="D48:Q48" si="5">D20+D25+D30+D35</f>
        <v>13</v>
      </c>
      <c r="E48" s="4">
        <f t="shared" si="5"/>
        <v>13</v>
      </c>
      <c r="F48" s="4">
        <f t="shared" si="5"/>
        <v>14</v>
      </c>
      <c r="G48" s="4">
        <f t="shared" si="5"/>
        <v>14</v>
      </c>
      <c r="H48" s="4">
        <f t="shared" si="5"/>
        <v>18</v>
      </c>
      <c r="I48" s="4">
        <f t="shared" si="5"/>
        <v>16</v>
      </c>
      <c r="J48" s="4">
        <f t="shared" si="5"/>
        <v>16</v>
      </c>
      <c r="K48" s="4">
        <f t="shared" si="5"/>
        <v>18</v>
      </c>
      <c r="L48" s="4">
        <f t="shared" si="5"/>
        <v>18</v>
      </c>
      <c r="M48" s="4">
        <f t="shared" si="5"/>
        <v>22</v>
      </c>
      <c r="N48" s="4">
        <f t="shared" si="5"/>
        <v>18</v>
      </c>
      <c r="O48" s="4">
        <f t="shared" si="5"/>
        <v>22</v>
      </c>
      <c r="P48" s="4">
        <f t="shared" si="5"/>
        <v>23</v>
      </c>
      <c r="Q48" s="4">
        <f t="shared" si="5"/>
        <v>22</v>
      </c>
    </row>
    <row r="49" spans="1:17" s="4" customFormat="1" ht="20.100000000000001" customHeight="1" x14ac:dyDescent="0.2">
      <c r="A49" s="19"/>
      <c r="B49" s="36"/>
      <c r="C49" s="4" t="s">
        <v>130</v>
      </c>
      <c r="D49" s="4">
        <f t="shared" ref="D49:Q49" si="6">D22+D27+D32+D37+D41</f>
        <v>5</v>
      </c>
      <c r="E49" s="4">
        <f t="shared" si="6"/>
        <v>5</v>
      </c>
      <c r="F49" s="4">
        <f t="shared" si="6"/>
        <v>5</v>
      </c>
      <c r="G49" s="4">
        <f t="shared" si="6"/>
        <v>5</v>
      </c>
      <c r="H49" s="4">
        <f t="shared" si="6"/>
        <v>5</v>
      </c>
      <c r="I49" s="4">
        <f t="shared" si="6"/>
        <v>7</v>
      </c>
      <c r="J49" s="4">
        <f t="shared" si="6"/>
        <v>5</v>
      </c>
      <c r="K49" s="4">
        <f t="shared" si="6"/>
        <v>10</v>
      </c>
      <c r="L49" s="4">
        <f t="shared" si="6"/>
        <v>10</v>
      </c>
      <c r="M49" s="4">
        <f t="shared" si="6"/>
        <v>10</v>
      </c>
      <c r="N49" s="4">
        <f t="shared" si="6"/>
        <v>10</v>
      </c>
      <c r="O49" s="4">
        <f t="shared" si="6"/>
        <v>10</v>
      </c>
      <c r="P49" s="4">
        <f t="shared" si="6"/>
        <v>12</v>
      </c>
      <c r="Q49" s="4">
        <f t="shared" si="6"/>
        <v>10</v>
      </c>
    </row>
    <row r="50" spans="1:17" s="4" customFormat="1" ht="20.100000000000001" customHeight="1" x14ac:dyDescent="0.2">
      <c r="A50" s="19"/>
      <c r="B50" s="37"/>
      <c r="C50" s="4" t="s">
        <v>131</v>
      </c>
      <c r="D50" s="4">
        <f>D48*(1+D49*0.02)</f>
        <v>14.3</v>
      </c>
      <c r="E50" s="4">
        <f>E48*(1+E49*0.02)</f>
        <v>14.3</v>
      </c>
      <c r="F50" s="4">
        <f t="shared" ref="F50:M50" si="7">F48*(1+F49*0.02)</f>
        <v>15.400000000000002</v>
      </c>
      <c r="G50" s="4">
        <f t="shared" si="7"/>
        <v>15.400000000000002</v>
      </c>
      <c r="H50" s="4">
        <f t="shared" si="7"/>
        <v>19.8</v>
      </c>
      <c r="I50" s="4">
        <f t="shared" si="7"/>
        <v>18.240000000000002</v>
      </c>
      <c r="J50" s="4">
        <f t="shared" si="7"/>
        <v>17.600000000000001</v>
      </c>
      <c r="K50" s="4">
        <f t="shared" si="7"/>
        <v>21.599999999999998</v>
      </c>
      <c r="L50" s="4">
        <f t="shared" si="7"/>
        <v>21.599999999999998</v>
      </c>
      <c r="M50" s="4">
        <f t="shared" si="7"/>
        <v>26.4</v>
      </c>
      <c r="N50" s="4">
        <f t="shared" ref="N50" si="8">N48*(1+N49*0.02)</f>
        <v>21.599999999999998</v>
      </c>
      <c r="O50" s="4">
        <f t="shared" ref="O50" si="9">O48*(1+O49*0.02)</f>
        <v>26.4</v>
      </c>
      <c r="P50" s="4">
        <f t="shared" ref="P50" si="10">P48*(1+P49*0.02)</f>
        <v>28.52</v>
      </c>
      <c r="Q50" s="4">
        <f t="shared" ref="Q50" si="11">Q48*(1+Q49*0.02)</f>
        <v>26.4</v>
      </c>
    </row>
    <row r="51" spans="1:17" s="7" customFormat="1" ht="20.100000000000001" customHeight="1" x14ac:dyDescent="0.2">
      <c r="A51" s="2"/>
      <c r="B51" s="8"/>
      <c r="C51" s="8"/>
    </row>
    <row r="52" spans="1:17" s="5" customFormat="1" ht="20.100000000000001" customHeight="1" x14ac:dyDescent="0.2">
      <c r="A52" s="33" t="s">
        <v>137</v>
      </c>
      <c r="B52" s="33" t="s">
        <v>20</v>
      </c>
      <c r="C52" s="5" t="s">
        <v>21</v>
      </c>
    </row>
    <row r="53" spans="1:17" s="5" customFormat="1" ht="20.100000000000001" customHeight="1" x14ac:dyDescent="0.2">
      <c r="A53" s="20"/>
      <c r="B53" s="20"/>
      <c r="C53" s="5" t="s">
        <v>7</v>
      </c>
    </row>
    <row r="54" spans="1:17" s="5" customFormat="1" ht="20.100000000000001" customHeight="1" x14ac:dyDescent="0.2">
      <c r="A54" s="20"/>
      <c r="B54" s="20"/>
      <c r="C54" s="5" t="s">
        <v>22</v>
      </c>
    </row>
    <row r="55" spans="1:17" s="5" customFormat="1" ht="20.100000000000001" customHeight="1" x14ac:dyDescent="0.2">
      <c r="A55" s="20"/>
      <c r="B55" s="21"/>
      <c r="C55" s="5" t="s">
        <v>23</v>
      </c>
    </row>
    <row r="56" spans="1:17" s="5" customFormat="1" ht="20.100000000000001" customHeight="1" x14ac:dyDescent="0.2">
      <c r="A56" s="20"/>
      <c r="B56" s="33" t="s">
        <v>30</v>
      </c>
      <c r="C56" s="5">
        <v>1</v>
      </c>
    </row>
    <row r="57" spans="1:17" s="5" customFormat="1" ht="20.100000000000001" customHeight="1" x14ac:dyDescent="0.2">
      <c r="A57" s="20"/>
      <c r="B57" s="20"/>
      <c r="C57" s="5">
        <v>2</v>
      </c>
    </row>
    <row r="58" spans="1:17" s="5" customFormat="1" ht="20.100000000000001" customHeight="1" x14ac:dyDescent="0.2">
      <c r="A58" s="20"/>
      <c r="B58" s="21"/>
      <c r="C58" s="5">
        <v>3</v>
      </c>
    </row>
    <row r="59" spans="1:17" s="2" customFormat="1" ht="20.100000000000001" customHeight="1" x14ac:dyDescent="0.2">
      <c r="A59" s="20"/>
      <c r="B59" s="9"/>
      <c r="C59" s="9"/>
      <c r="D59" s="9"/>
      <c r="E59" s="9"/>
    </row>
    <row r="60" spans="1:17" s="5" customFormat="1" ht="20.100000000000001" customHeight="1" x14ac:dyDescent="0.2">
      <c r="A60" s="20"/>
      <c r="B60" s="33" t="s">
        <v>25</v>
      </c>
      <c r="C60" s="5" t="s">
        <v>2</v>
      </c>
    </row>
    <row r="61" spans="1:17" s="5" customFormat="1" ht="20.100000000000001" customHeight="1" x14ac:dyDescent="0.2">
      <c r="A61" s="20"/>
      <c r="B61" s="20"/>
      <c r="C61" s="5" t="s">
        <v>23</v>
      </c>
    </row>
    <row r="62" spans="1:17" s="5" customFormat="1" ht="20.100000000000001" customHeight="1" x14ac:dyDescent="0.2">
      <c r="A62" s="21"/>
      <c r="B62" s="21"/>
      <c r="C62" s="5" t="s">
        <v>6</v>
      </c>
    </row>
    <row r="63" spans="1:17" s="2" customFormat="1" ht="20.100000000000001" customHeight="1" x14ac:dyDescent="0.2"/>
    <row r="64" spans="1:17" s="6" customFormat="1" ht="20.100000000000001" customHeight="1" x14ac:dyDescent="0.2">
      <c r="A64" s="28" t="s">
        <v>26</v>
      </c>
      <c r="B64" s="6" t="s">
        <v>10</v>
      </c>
      <c r="C64" s="6" t="s">
        <v>11</v>
      </c>
      <c r="D64" s="6">
        <v>1</v>
      </c>
      <c r="E64" s="6">
        <v>1</v>
      </c>
      <c r="F64" s="6">
        <v>1</v>
      </c>
      <c r="G64" s="6">
        <v>1</v>
      </c>
      <c r="H64" s="6">
        <v>1</v>
      </c>
      <c r="I64" s="6">
        <v>1</v>
      </c>
      <c r="J64" s="6">
        <v>1</v>
      </c>
      <c r="K64" s="6">
        <v>1</v>
      </c>
      <c r="L64" s="6">
        <v>1</v>
      </c>
      <c r="M64" s="6">
        <v>1</v>
      </c>
      <c r="N64" s="6">
        <v>1</v>
      </c>
      <c r="O64" s="6">
        <v>1</v>
      </c>
      <c r="P64" s="6">
        <v>1</v>
      </c>
      <c r="Q64" s="6">
        <v>1</v>
      </c>
    </row>
    <row r="65" spans="1:17" s="4" customFormat="1" ht="20.100000000000001" customHeight="1" x14ac:dyDescent="0.2">
      <c r="A65" s="29"/>
      <c r="B65" s="4" t="s">
        <v>133</v>
      </c>
      <c r="C65" s="4" t="s">
        <v>136</v>
      </c>
      <c r="F65" s="4">
        <v>1</v>
      </c>
      <c r="G65" s="4">
        <v>1</v>
      </c>
      <c r="H65" s="4">
        <v>1</v>
      </c>
      <c r="I65" s="4">
        <v>1</v>
      </c>
      <c r="J65" s="4">
        <v>1</v>
      </c>
      <c r="K65" s="4">
        <v>1</v>
      </c>
      <c r="L65" s="4">
        <v>0</v>
      </c>
      <c r="M65" s="4">
        <v>1</v>
      </c>
      <c r="N65" s="4">
        <v>1</v>
      </c>
      <c r="O65" s="4">
        <v>1</v>
      </c>
      <c r="P65" s="4">
        <v>1</v>
      </c>
      <c r="Q65" s="4">
        <v>1</v>
      </c>
    </row>
    <row r="66" spans="1:17" s="4" customFormat="1" ht="20.100000000000001" customHeight="1" x14ac:dyDescent="0.2">
      <c r="A66" s="29"/>
      <c r="B66" s="4" t="s">
        <v>134</v>
      </c>
      <c r="C66" s="4" t="s">
        <v>136</v>
      </c>
      <c r="F66" s="4">
        <v>1</v>
      </c>
      <c r="G66" s="4">
        <v>1</v>
      </c>
      <c r="H66" s="4">
        <v>1</v>
      </c>
      <c r="I66" s="4">
        <v>1</v>
      </c>
      <c r="J66" s="4">
        <v>1</v>
      </c>
      <c r="K66" s="4">
        <v>1</v>
      </c>
      <c r="L66" s="4">
        <v>0</v>
      </c>
      <c r="M66" s="4">
        <v>1</v>
      </c>
      <c r="N66" s="4">
        <v>1</v>
      </c>
      <c r="O66" s="4">
        <v>1</v>
      </c>
      <c r="P66" s="4">
        <v>1</v>
      </c>
      <c r="Q66" s="4">
        <v>1</v>
      </c>
    </row>
    <row r="67" spans="1:17" s="5" customFormat="1" ht="20.100000000000001" customHeight="1" x14ac:dyDescent="0.2">
      <c r="A67" s="30"/>
      <c r="B67" s="5" t="s">
        <v>135</v>
      </c>
      <c r="C67" s="5" t="s">
        <v>136</v>
      </c>
    </row>
  </sheetData>
  <mergeCells count="17">
    <mergeCell ref="A64:A67"/>
    <mergeCell ref="A7:A18"/>
    <mergeCell ref="B60:B62"/>
    <mergeCell ref="B7:B10"/>
    <mergeCell ref="B11:B13"/>
    <mergeCell ref="B15:B18"/>
    <mergeCell ref="B20:B23"/>
    <mergeCell ref="B25:B28"/>
    <mergeCell ref="A20:A50"/>
    <mergeCell ref="B44:B46"/>
    <mergeCell ref="B30:B33"/>
    <mergeCell ref="B35:B38"/>
    <mergeCell ref="B40:B42"/>
    <mergeCell ref="A52:A62"/>
    <mergeCell ref="B52:B55"/>
    <mergeCell ref="B56:B58"/>
    <mergeCell ref="B48:B50"/>
  </mergeCells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E3A64-1223-4346-9F98-17294D0E7928}">
  <dimension ref="A1:AF67"/>
  <sheetViews>
    <sheetView topLeftCell="A25" workbookViewId="0">
      <selection activeCell="D48" sqref="D48:Q50"/>
    </sheetView>
  </sheetViews>
  <sheetFormatPr defaultColWidth="16.625" defaultRowHeight="20.100000000000001" customHeight="1" x14ac:dyDescent="0.2"/>
  <cols>
    <col min="1" max="3" width="16.625" style="2"/>
  </cols>
  <sheetData>
    <row r="1" spans="1:32" ht="20.100000000000001" customHeight="1" x14ac:dyDescent="0.2">
      <c r="D1" s="2"/>
      <c r="E1" s="2"/>
    </row>
    <row r="2" spans="1:32" ht="20.100000000000001" customHeight="1" x14ac:dyDescent="0.2">
      <c r="D2" s="2"/>
      <c r="E2" s="2"/>
    </row>
    <row r="3" spans="1:32" ht="20.100000000000001" customHeight="1" x14ac:dyDescent="0.2">
      <c r="D3" s="2" t="s">
        <v>0</v>
      </c>
      <c r="E3" s="2"/>
    </row>
    <row r="4" spans="1:32" s="11" customFormat="1" ht="20.100000000000001" customHeight="1" x14ac:dyDescent="0.2">
      <c r="A4" s="1"/>
      <c r="B4" s="1"/>
      <c r="C4" s="1"/>
      <c r="D4" s="1" t="s">
        <v>55</v>
      </c>
      <c r="E4" s="1" t="s">
        <v>56</v>
      </c>
      <c r="F4" s="1" t="s">
        <v>57</v>
      </c>
      <c r="G4" s="1" t="s">
        <v>58</v>
      </c>
      <c r="H4" s="1" t="s">
        <v>59</v>
      </c>
      <c r="I4" s="1" t="s">
        <v>60</v>
      </c>
      <c r="J4" s="1" t="s">
        <v>61</v>
      </c>
      <c r="K4" s="1" t="s">
        <v>62</v>
      </c>
      <c r="L4" s="1" t="s">
        <v>63</v>
      </c>
      <c r="M4" s="1" t="s">
        <v>64</v>
      </c>
      <c r="N4" s="1" t="s">
        <v>65</v>
      </c>
      <c r="O4" s="1" t="s">
        <v>66</v>
      </c>
      <c r="P4" s="1" t="s">
        <v>67</v>
      </c>
      <c r="Q4" s="1" t="s">
        <v>68</v>
      </c>
      <c r="R4" s="1" t="s">
        <v>69</v>
      </c>
      <c r="S4" s="1" t="s">
        <v>70</v>
      </c>
      <c r="T4" s="1" t="s">
        <v>71</v>
      </c>
      <c r="U4" s="1" t="s">
        <v>72</v>
      </c>
      <c r="V4" s="1" t="s">
        <v>73</v>
      </c>
      <c r="W4" s="1" t="s">
        <v>74</v>
      </c>
      <c r="X4" s="1" t="s">
        <v>75</v>
      </c>
      <c r="Y4" s="1" t="s">
        <v>76</v>
      </c>
      <c r="Z4" s="1" t="s">
        <v>77</v>
      </c>
      <c r="AA4" s="1" t="s">
        <v>78</v>
      </c>
      <c r="AB4" s="1" t="s">
        <v>79</v>
      </c>
      <c r="AC4" s="1" t="s">
        <v>80</v>
      </c>
      <c r="AD4" s="1" t="s">
        <v>81</v>
      </c>
      <c r="AE4" s="1" t="s">
        <v>82</v>
      </c>
      <c r="AF4" s="1" t="s">
        <v>83</v>
      </c>
    </row>
    <row r="5" spans="1:32" s="11" customFormat="1" ht="20.100000000000001" customHeight="1" x14ac:dyDescent="0.2">
      <c r="A5" s="1"/>
      <c r="B5" s="1"/>
      <c r="C5" s="1" t="s">
        <v>125</v>
      </c>
      <c r="D5" s="1">
        <v>3</v>
      </c>
      <c r="E5" s="1">
        <v>3</v>
      </c>
      <c r="F5" s="1">
        <v>3</v>
      </c>
      <c r="G5" s="1">
        <v>3</v>
      </c>
      <c r="H5" s="1">
        <v>3</v>
      </c>
      <c r="I5" s="1">
        <v>3</v>
      </c>
      <c r="J5" s="1">
        <v>3</v>
      </c>
      <c r="K5" s="1">
        <v>3</v>
      </c>
      <c r="L5" s="1">
        <v>3</v>
      </c>
      <c r="M5" s="1">
        <v>3</v>
      </c>
      <c r="N5" s="1">
        <v>3</v>
      </c>
      <c r="O5" s="1">
        <v>3</v>
      </c>
      <c r="P5" s="1">
        <v>3</v>
      </c>
      <c r="Q5" s="1">
        <v>3</v>
      </c>
      <c r="R5" s="1">
        <v>3</v>
      </c>
      <c r="S5" s="1">
        <v>3</v>
      </c>
      <c r="T5" s="1">
        <v>3</v>
      </c>
      <c r="U5" s="1">
        <v>3</v>
      </c>
      <c r="V5" s="1">
        <v>3</v>
      </c>
      <c r="W5" s="1">
        <v>3</v>
      </c>
      <c r="X5" s="1">
        <v>3</v>
      </c>
      <c r="Y5" s="1">
        <v>3</v>
      </c>
      <c r="Z5" s="1">
        <v>3</v>
      </c>
      <c r="AA5" s="1">
        <v>3</v>
      </c>
      <c r="AB5" s="1">
        <v>3</v>
      </c>
      <c r="AC5" s="1">
        <v>3</v>
      </c>
      <c r="AD5" s="1">
        <v>3</v>
      </c>
      <c r="AE5" s="1">
        <v>3</v>
      </c>
      <c r="AF5" s="1">
        <v>3</v>
      </c>
    </row>
    <row r="6" spans="1:32" s="11" customFormat="1" ht="20.100000000000001" customHeight="1" x14ac:dyDescent="0.2">
      <c r="A6" s="1"/>
      <c r="B6" s="1"/>
      <c r="C6" s="1" t="s">
        <v>126</v>
      </c>
      <c r="D6" s="1">
        <v>1</v>
      </c>
      <c r="E6" s="1">
        <v>1</v>
      </c>
      <c r="F6" s="1">
        <v>1</v>
      </c>
      <c r="G6" s="1">
        <v>1</v>
      </c>
      <c r="H6" s="1">
        <v>1</v>
      </c>
      <c r="I6" s="1">
        <v>1</v>
      </c>
      <c r="J6" s="1">
        <v>1</v>
      </c>
      <c r="K6" s="1">
        <v>2</v>
      </c>
      <c r="L6" s="1">
        <v>2</v>
      </c>
      <c r="M6" s="1">
        <v>2</v>
      </c>
      <c r="N6" s="1">
        <v>2</v>
      </c>
      <c r="O6" s="1">
        <v>2</v>
      </c>
      <c r="P6" s="1">
        <v>2</v>
      </c>
      <c r="Q6" s="1">
        <v>2</v>
      </c>
      <c r="R6" s="1">
        <v>3</v>
      </c>
      <c r="S6" s="1">
        <v>3</v>
      </c>
      <c r="T6" s="1">
        <v>3</v>
      </c>
      <c r="U6" s="1">
        <v>3</v>
      </c>
      <c r="V6" s="1">
        <v>4</v>
      </c>
      <c r="W6" s="1">
        <v>4</v>
      </c>
      <c r="X6" s="1">
        <v>4</v>
      </c>
      <c r="Y6" s="1">
        <v>5</v>
      </c>
      <c r="Z6" s="1">
        <v>5</v>
      </c>
      <c r="AA6" s="1">
        <v>5</v>
      </c>
      <c r="AB6" s="1">
        <v>5</v>
      </c>
      <c r="AC6" s="1">
        <v>5</v>
      </c>
      <c r="AD6" s="1">
        <v>6</v>
      </c>
      <c r="AE6" s="1">
        <v>6</v>
      </c>
      <c r="AF6" s="1">
        <v>6</v>
      </c>
    </row>
    <row r="7" spans="1:32" s="3" customFormat="1" ht="20.100000000000001" customHeight="1" x14ac:dyDescent="0.2">
      <c r="A7" s="18" t="s">
        <v>138</v>
      </c>
      <c r="B7" s="16" t="s">
        <v>24</v>
      </c>
      <c r="C7" s="3" t="s">
        <v>6</v>
      </c>
      <c r="D7" s="3">
        <v>17</v>
      </c>
    </row>
    <row r="8" spans="1:32" s="3" customFormat="1" ht="20.100000000000001" customHeight="1" x14ac:dyDescent="0.2">
      <c r="A8" s="18"/>
      <c r="B8" s="16"/>
      <c r="C8" s="3" t="s">
        <v>7</v>
      </c>
      <c r="D8" s="3">
        <v>200</v>
      </c>
    </row>
    <row r="9" spans="1:32" s="3" customFormat="1" ht="20.100000000000001" customHeight="1" x14ac:dyDescent="0.2">
      <c r="A9" s="18"/>
      <c r="B9" s="16"/>
      <c r="C9" s="3" t="s">
        <v>8</v>
      </c>
      <c r="D9" s="3">
        <v>6</v>
      </c>
    </row>
    <row r="10" spans="1:32" s="3" customFormat="1" ht="20.100000000000001" customHeight="1" x14ac:dyDescent="0.2">
      <c r="A10" s="18"/>
      <c r="B10" s="16"/>
      <c r="C10" s="3" t="s">
        <v>9</v>
      </c>
      <c r="D10" s="3" t="s">
        <v>27</v>
      </c>
    </row>
    <row r="11" spans="1:32" s="3" customFormat="1" ht="20.100000000000001" customHeight="1" x14ac:dyDescent="0.2">
      <c r="A11" s="18"/>
      <c r="B11" s="16" t="s">
        <v>30</v>
      </c>
      <c r="C11" s="3">
        <v>1</v>
      </c>
    </row>
    <row r="12" spans="1:32" s="3" customFormat="1" ht="20.100000000000001" customHeight="1" x14ac:dyDescent="0.2">
      <c r="A12" s="18"/>
      <c r="B12" s="16"/>
      <c r="C12" s="3">
        <v>2</v>
      </c>
    </row>
    <row r="13" spans="1:32" s="3" customFormat="1" ht="20.100000000000001" customHeight="1" x14ac:dyDescent="0.2">
      <c r="A13" s="18"/>
      <c r="B13" s="16"/>
      <c r="C13" s="3">
        <v>3</v>
      </c>
    </row>
    <row r="14" spans="1:32" s="2" customFormat="1" ht="20.100000000000001" customHeight="1" x14ac:dyDescent="0.2">
      <c r="A14" s="18"/>
    </row>
    <row r="15" spans="1:32" s="3" customFormat="1" ht="20.100000000000001" customHeight="1" x14ac:dyDescent="0.2">
      <c r="A15" s="18"/>
      <c r="B15" s="22" t="s">
        <v>1</v>
      </c>
      <c r="C15" s="3" t="s">
        <v>2</v>
      </c>
      <c r="D15" s="3">
        <v>0</v>
      </c>
    </row>
    <row r="16" spans="1:32" s="3" customFormat="1" ht="20.100000000000001" customHeight="1" x14ac:dyDescent="0.2">
      <c r="A16" s="18"/>
      <c r="B16" s="23"/>
      <c r="C16" s="3" t="s">
        <v>3</v>
      </c>
      <c r="D16" s="3">
        <v>0.3</v>
      </c>
    </row>
    <row r="17" spans="1:5" s="3" customFormat="1" ht="20.100000000000001" customHeight="1" x14ac:dyDescent="0.2">
      <c r="A17" s="18"/>
      <c r="B17" s="23"/>
      <c r="C17" s="3" t="s">
        <v>4</v>
      </c>
      <c r="D17" s="3">
        <v>0.05</v>
      </c>
    </row>
    <row r="18" spans="1:5" s="3" customFormat="1" ht="20.100000000000001" customHeight="1" x14ac:dyDescent="0.2">
      <c r="A18" s="18"/>
      <c r="B18" s="24"/>
      <c r="C18" s="3" t="s">
        <v>5</v>
      </c>
      <c r="D18" s="3">
        <v>0</v>
      </c>
    </row>
    <row r="19" spans="1:5" s="2" customFormat="1" ht="20.100000000000001" customHeight="1" x14ac:dyDescent="0.2">
      <c r="B19" s="10"/>
      <c r="C19" s="10"/>
      <c r="D19" s="10"/>
      <c r="E19" s="10"/>
    </row>
    <row r="20" spans="1:5" s="4" customFormat="1" ht="20.100000000000001" customHeight="1" x14ac:dyDescent="0.2">
      <c r="A20" s="19" t="s">
        <v>132</v>
      </c>
      <c r="B20" s="34" t="s">
        <v>12</v>
      </c>
      <c r="C20" s="4" t="s">
        <v>13</v>
      </c>
    </row>
    <row r="21" spans="1:5" s="4" customFormat="1" ht="20.100000000000001" customHeight="1" x14ac:dyDescent="0.2">
      <c r="A21" s="19"/>
      <c r="B21" s="34"/>
      <c r="C21" s="4" t="s">
        <v>7</v>
      </c>
    </row>
    <row r="22" spans="1:5" s="4" customFormat="1" ht="20.100000000000001" customHeight="1" x14ac:dyDescent="0.2">
      <c r="A22" s="19"/>
      <c r="B22" s="34"/>
      <c r="C22" s="4" t="s">
        <v>14</v>
      </c>
    </row>
    <row r="23" spans="1:5" s="4" customFormat="1" ht="20.100000000000001" customHeight="1" x14ac:dyDescent="0.2">
      <c r="A23" s="19"/>
      <c r="B23" s="34"/>
      <c r="C23" s="4" t="s">
        <v>15</v>
      </c>
    </row>
    <row r="24" spans="1:5" s="2" customFormat="1" ht="20.100000000000001" customHeight="1" x14ac:dyDescent="0.2">
      <c r="A24" s="19"/>
      <c r="B24" s="12"/>
      <c r="C24" s="10"/>
      <c r="D24" s="10"/>
      <c r="E24" s="10"/>
    </row>
    <row r="25" spans="1:5" s="4" customFormat="1" ht="20.100000000000001" customHeight="1" x14ac:dyDescent="0.2">
      <c r="A25" s="19"/>
      <c r="B25" s="34" t="s">
        <v>16</v>
      </c>
      <c r="C25" s="4" t="s">
        <v>13</v>
      </c>
    </row>
    <row r="26" spans="1:5" s="4" customFormat="1" ht="20.100000000000001" customHeight="1" x14ac:dyDescent="0.2">
      <c r="A26" s="19"/>
      <c r="B26" s="34"/>
      <c r="C26" s="4" t="s">
        <v>7</v>
      </c>
    </row>
    <row r="27" spans="1:5" s="4" customFormat="1" ht="20.100000000000001" customHeight="1" x14ac:dyDescent="0.2">
      <c r="A27" s="19"/>
      <c r="B27" s="34"/>
      <c r="C27" s="4" t="s">
        <v>14</v>
      </c>
    </row>
    <row r="28" spans="1:5" s="4" customFormat="1" ht="20.100000000000001" customHeight="1" x14ac:dyDescent="0.2">
      <c r="A28" s="19"/>
      <c r="B28" s="34"/>
      <c r="C28" s="4" t="s">
        <v>15</v>
      </c>
    </row>
    <row r="29" spans="1:5" s="2" customFormat="1" ht="20.100000000000001" customHeight="1" x14ac:dyDescent="0.2">
      <c r="A29" s="19"/>
      <c r="B29" s="13"/>
      <c r="C29" s="9"/>
      <c r="D29" s="9"/>
      <c r="E29" s="9"/>
    </row>
    <row r="30" spans="1:5" s="4" customFormat="1" ht="20.100000000000001" customHeight="1" x14ac:dyDescent="0.2">
      <c r="A30" s="19"/>
      <c r="B30" s="35" t="s">
        <v>17</v>
      </c>
      <c r="C30" s="4" t="s">
        <v>13</v>
      </c>
    </row>
    <row r="31" spans="1:5" s="4" customFormat="1" ht="20.100000000000001" customHeight="1" x14ac:dyDescent="0.2">
      <c r="A31" s="19"/>
      <c r="B31" s="36"/>
      <c r="C31" s="4" t="s">
        <v>7</v>
      </c>
    </row>
    <row r="32" spans="1:5" s="4" customFormat="1" ht="20.100000000000001" customHeight="1" x14ac:dyDescent="0.2">
      <c r="A32" s="19"/>
      <c r="B32" s="36"/>
      <c r="C32" s="4" t="s">
        <v>14</v>
      </c>
    </row>
    <row r="33" spans="1:17" s="4" customFormat="1" ht="20.100000000000001" customHeight="1" x14ac:dyDescent="0.2">
      <c r="A33" s="19"/>
      <c r="B33" s="37"/>
      <c r="C33" s="4" t="s">
        <v>15</v>
      </c>
    </row>
    <row r="34" spans="1:17" s="2" customFormat="1" ht="20.100000000000001" customHeight="1" x14ac:dyDescent="0.2">
      <c r="A34" s="19"/>
      <c r="B34" s="14"/>
      <c r="C34" s="1"/>
      <c r="D34" s="1"/>
      <c r="E34" s="1"/>
    </row>
    <row r="35" spans="1:17" s="4" customFormat="1" ht="20.100000000000001" customHeight="1" x14ac:dyDescent="0.2">
      <c r="A35" s="19"/>
      <c r="B35" s="35" t="s">
        <v>18</v>
      </c>
      <c r="C35" s="4" t="s">
        <v>13</v>
      </c>
    </row>
    <row r="36" spans="1:17" s="4" customFormat="1" ht="20.100000000000001" customHeight="1" x14ac:dyDescent="0.2">
      <c r="A36" s="19"/>
      <c r="B36" s="36"/>
      <c r="C36" s="4" t="s">
        <v>7</v>
      </c>
    </row>
    <row r="37" spans="1:17" s="4" customFormat="1" ht="20.100000000000001" customHeight="1" x14ac:dyDescent="0.2">
      <c r="A37" s="19"/>
      <c r="B37" s="36"/>
      <c r="C37" s="4" t="s">
        <v>14</v>
      </c>
    </row>
    <row r="38" spans="1:17" s="4" customFormat="1" ht="20.100000000000001" customHeight="1" x14ac:dyDescent="0.2">
      <c r="A38" s="19"/>
      <c r="B38" s="37"/>
      <c r="C38" s="4" t="s">
        <v>15</v>
      </c>
    </row>
    <row r="39" spans="1:17" s="2" customFormat="1" ht="20.100000000000001" customHeight="1" x14ac:dyDescent="0.2">
      <c r="A39" s="19"/>
      <c r="B39" s="14"/>
      <c r="C39" s="1"/>
      <c r="D39" s="1"/>
      <c r="E39" s="1"/>
    </row>
    <row r="40" spans="1:17" s="4" customFormat="1" ht="20.100000000000001" customHeight="1" x14ac:dyDescent="0.2">
      <c r="A40" s="19"/>
      <c r="B40" s="35" t="s">
        <v>19</v>
      </c>
      <c r="C40" s="4" t="s">
        <v>7</v>
      </c>
    </row>
    <row r="41" spans="1:17" s="4" customFormat="1" ht="20.100000000000001" customHeight="1" x14ac:dyDescent="0.2">
      <c r="A41" s="19"/>
      <c r="B41" s="36"/>
      <c r="C41" s="4" t="s">
        <v>14</v>
      </c>
    </row>
    <row r="42" spans="1:17" s="4" customFormat="1" ht="20.100000000000001" customHeight="1" x14ac:dyDescent="0.2">
      <c r="A42" s="19"/>
      <c r="B42" s="37"/>
      <c r="C42" s="4" t="s">
        <v>15</v>
      </c>
    </row>
    <row r="43" spans="1:17" s="2" customFormat="1" ht="20.100000000000001" customHeight="1" x14ac:dyDescent="0.2">
      <c r="A43" s="19"/>
      <c r="D43" s="7"/>
      <c r="E43" s="7"/>
    </row>
    <row r="44" spans="1:17" s="4" customFormat="1" ht="20.100000000000001" customHeight="1" x14ac:dyDescent="0.2">
      <c r="A44" s="19"/>
      <c r="B44" s="35" t="s">
        <v>30</v>
      </c>
      <c r="C44" s="4">
        <v>1</v>
      </c>
    </row>
    <row r="45" spans="1:17" s="4" customFormat="1" ht="20.100000000000001" customHeight="1" x14ac:dyDescent="0.2">
      <c r="A45" s="19"/>
      <c r="B45" s="36"/>
      <c r="C45" s="4">
        <v>2</v>
      </c>
    </row>
    <row r="46" spans="1:17" s="4" customFormat="1" ht="20.100000000000001" customHeight="1" x14ac:dyDescent="0.2">
      <c r="A46" s="19"/>
      <c r="B46" s="37"/>
      <c r="C46" s="4">
        <v>3</v>
      </c>
    </row>
    <row r="47" spans="1:17" s="2" customFormat="1" ht="20.100000000000001" customHeight="1" x14ac:dyDescent="0.2">
      <c r="A47" s="19"/>
      <c r="B47" s="15"/>
      <c r="C47" s="7"/>
      <c r="D47" s="8"/>
      <c r="E47" s="8"/>
    </row>
    <row r="48" spans="1:17" s="4" customFormat="1" ht="20.100000000000001" customHeight="1" x14ac:dyDescent="0.2">
      <c r="A48" s="19"/>
      <c r="B48" s="35" t="s">
        <v>28</v>
      </c>
      <c r="C48" s="4" t="s">
        <v>29</v>
      </c>
      <c r="D48" s="4">
        <f t="shared" ref="D48:Q48" si="0">D20+D25+D30+D35</f>
        <v>0</v>
      </c>
      <c r="E48" s="4">
        <f t="shared" si="0"/>
        <v>0</v>
      </c>
      <c r="F48" s="4">
        <f t="shared" si="0"/>
        <v>0</v>
      </c>
      <c r="G48" s="4">
        <f t="shared" si="0"/>
        <v>0</v>
      </c>
      <c r="H48" s="4">
        <f t="shared" si="0"/>
        <v>0</v>
      </c>
      <c r="I48" s="4">
        <f t="shared" si="0"/>
        <v>0</v>
      </c>
      <c r="J48" s="4">
        <f t="shared" si="0"/>
        <v>0</v>
      </c>
      <c r="K48" s="4">
        <f t="shared" si="0"/>
        <v>0</v>
      </c>
      <c r="L48" s="4">
        <f t="shared" si="0"/>
        <v>0</v>
      </c>
      <c r="M48" s="4">
        <f t="shared" si="0"/>
        <v>0</v>
      </c>
      <c r="N48" s="4">
        <f t="shared" si="0"/>
        <v>0</v>
      </c>
      <c r="O48" s="4">
        <f t="shared" si="0"/>
        <v>0</v>
      </c>
      <c r="P48" s="4">
        <f t="shared" si="0"/>
        <v>0</v>
      </c>
      <c r="Q48" s="4">
        <f t="shared" si="0"/>
        <v>0</v>
      </c>
    </row>
    <row r="49" spans="1:17" s="4" customFormat="1" ht="20.100000000000001" customHeight="1" x14ac:dyDescent="0.2">
      <c r="A49" s="19"/>
      <c r="B49" s="36"/>
      <c r="C49" s="4" t="s">
        <v>130</v>
      </c>
      <c r="D49" s="4">
        <f t="shared" ref="D49:Q49" si="1">D22+D27+D32+D37+D41</f>
        <v>0</v>
      </c>
      <c r="E49" s="4">
        <f t="shared" si="1"/>
        <v>0</v>
      </c>
      <c r="F49" s="4">
        <f t="shared" si="1"/>
        <v>0</v>
      </c>
      <c r="G49" s="4">
        <f t="shared" si="1"/>
        <v>0</v>
      </c>
      <c r="H49" s="4">
        <f t="shared" si="1"/>
        <v>0</v>
      </c>
      <c r="I49" s="4">
        <f t="shared" si="1"/>
        <v>0</v>
      </c>
      <c r="J49" s="4">
        <f t="shared" si="1"/>
        <v>0</v>
      </c>
      <c r="K49" s="4">
        <f t="shared" si="1"/>
        <v>0</v>
      </c>
      <c r="L49" s="4">
        <f t="shared" si="1"/>
        <v>0</v>
      </c>
      <c r="M49" s="4">
        <f t="shared" si="1"/>
        <v>0</v>
      </c>
      <c r="N49" s="4">
        <f t="shared" si="1"/>
        <v>0</v>
      </c>
      <c r="O49" s="4">
        <f t="shared" si="1"/>
        <v>0</v>
      </c>
      <c r="P49" s="4">
        <f t="shared" si="1"/>
        <v>0</v>
      </c>
      <c r="Q49" s="4">
        <f t="shared" si="1"/>
        <v>0</v>
      </c>
    </row>
    <row r="50" spans="1:17" s="4" customFormat="1" ht="20.100000000000001" customHeight="1" x14ac:dyDescent="0.2">
      <c r="A50" s="19"/>
      <c r="B50" s="37"/>
      <c r="C50" s="4" t="s">
        <v>131</v>
      </c>
      <c r="D50" s="4">
        <f>D48*(1+D49*0.02)</f>
        <v>0</v>
      </c>
      <c r="E50" s="4">
        <f>E48*(1+E49*0.02)</f>
        <v>0</v>
      </c>
      <c r="F50" s="4">
        <f t="shared" ref="F50:Q50" si="2">F48*(1+F49*0.02)</f>
        <v>0</v>
      </c>
      <c r="G50" s="4">
        <f t="shared" si="2"/>
        <v>0</v>
      </c>
      <c r="H50" s="4">
        <f t="shared" si="2"/>
        <v>0</v>
      </c>
      <c r="I50" s="4">
        <f t="shared" si="2"/>
        <v>0</v>
      </c>
      <c r="J50" s="4">
        <f t="shared" si="2"/>
        <v>0</v>
      </c>
      <c r="K50" s="4">
        <f t="shared" si="2"/>
        <v>0</v>
      </c>
      <c r="L50" s="4">
        <f t="shared" si="2"/>
        <v>0</v>
      </c>
      <c r="M50" s="4">
        <f t="shared" si="2"/>
        <v>0</v>
      </c>
      <c r="N50" s="4">
        <f t="shared" si="2"/>
        <v>0</v>
      </c>
      <c r="O50" s="4">
        <f t="shared" si="2"/>
        <v>0</v>
      </c>
      <c r="P50" s="4">
        <f t="shared" si="2"/>
        <v>0</v>
      </c>
      <c r="Q50" s="4">
        <f t="shared" si="2"/>
        <v>0</v>
      </c>
    </row>
    <row r="51" spans="1:17" s="7" customFormat="1" ht="20.100000000000001" customHeight="1" x14ac:dyDescent="0.2">
      <c r="A51" s="2"/>
      <c r="B51" s="8"/>
      <c r="C51" s="8"/>
    </row>
    <row r="52" spans="1:17" s="5" customFormat="1" ht="20.100000000000001" customHeight="1" x14ac:dyDescent="0.2">
      <c r="A52" s="33" t="s">
        <v>137</v>
      </c>
      <c r="B52" s="33" t="s">
        <v>20</v>
      </c>
      <c r="C52" s="5" t="s">
        <v>21</v>
      </c>
    </row>
    <row r="53" spans="1:17" s="5" customFormat="1" ht="20.100000000000001" customHeight="1" x14ac:dyDescent="0.2">
      <c r="A53" s="20"/>
      <c r="B53" s="20"/>
      <c r="C53" s="5" t="s">
        <v>7</v>
      </c>
    </row>
    <row r="54" spans="1:17" s="5" customFormat="1" ht="20.100000000000001" customHeight="1" x14ac:dyDescent="0.2">
      <c r="A54" s="20"/>
      <c r="B54" s="20"/>
      <c r="C54" s="5" t="s">
        <v>22</v>
      </c>
    </row>
    <row r="55" spans="1:17" s="5" customFormat="1" ht="20.100000000000001" customHeight="1" x14ac:dyDescent="0.2">
      <c r="A55" s="20"/>
      <c r="B55" s="21"/>
      <c r="C55" s="5" t="s">
        <v>23</v>
      </c>
    </row>
    <row r="56" spans="1:17" s="5" customFormat="1" ht="20.100000000000001" customHeight="1" x14ac:dyDescent="0.2">
      <c r="A56" s="20"/>
      <c r="B56" s="33" t="s">
        <v>30</v>
      </c>
      <c r="C56" s="5">
        <v>1</v>
      </c>
    </row>
    <row r="57" spans="1:17" s="5" customFormat="1" ht="20.100000000000001" customHeight="1" x14ac:dyDescent="0.2">
      <c r="A57" s="20"/>
      <c r="B57" s="20"/>
      <c r="C57" s="5">
        <v>2</v>
      </c>
    </row>
    <row r="58" spans="1:17" s="5" customFormat="1" ht="20.100000000000001" customHeight="1" x14ac:dyDescent="0.2">
      <c r="A58" s="20"/>
      <c r="B58" s="21"/>
      <c r="C58" s="5">
        <v>3</v>
      </c>
    </row>
    <row r="59" spans="1:17" s="2" customFormat="1" ht="20.100000000000001" customHeight="1" x14ac:dyDescent="0.2">
      <c r="A59" s="20"/>
      <c r="B59" s="9"/>
      <c r="C59" s="9"/>
      <c r="D59" s="9"/>
      <c r="E59" s="9"/>
    </row>
    <row r="60" spans="1:17" s="5" customFormat="1" ht="20.100000000000001" customHeight="1" x14ac:dyDescent="0.2">
      <c r="A60" s="20"/>
      <c r="B60" s="33" t="s">
        <v>25</v>
      </c>
      <c r="C60" s="5" t="s">
        <v>2</v>
      </c>
    </row>
    <row r="61" spans="1:17" s="5" customFormat="1" ht="20.100000000000001" customHeight="1" x14ac:dyDescent="0.2">
      <c r="A61" s="20"/>
      <c r="B61" s="20"/>
      <c r="C61" s="5" t="s">
        <v>23</v>
      </c>
    </row>
    <row r="62" spans="1:17" s="5" customFormat="1" ht="20.100000000000001" customHeight="1" x14ac:dyDescent="0.2">
      <c r="A62" s="21"/>
      <c r="B62" s="21"/>
      <c r="C62" s="5" t="s">
        <v>6</v>
      </c>
    </row>
    <row r="63" spans="1:17" s="2" customFormat="1" ht="20.100000000000001" customHeight="1" x14ac:dyDescent="0.2"/>
    <row r="64" spans="1:17" s="6" customFormat="1" ht="20.100000000000001" customHeight="1" x14ac:dyDescent="0.2">
      <c r="A64" s="28" t="s">
        <v>26</v>
      </c>
      <c r="B64" s="6" t="s">
        <v>10</v>
      </c>
      <c r="C64" s="6" t="s">
        <v>11</v>
      </c>
    </row>
    <row r="65" spans="1:3" s="4" customFormat="1" ht="20.100000000000001" customHeight="1" x14ac:dyDescent="0.2">
      <c r="A65" s="29"/>
      <c r="B65" s="4" t="s">
        <v>133</v>
      </c>
      <c r="C65" s="4" t="s">
        <v>136</v>
      </c>
    </row>
    <row r="66" spans="1:3" s="4" customFormat="1" ht="20.100000000000001" customHeight="1" x14ac:dyDescent="0.2">
      <c r="A66" s="29"/>
      <c r="B66" s="4" t="s">
        <v>134</v>
      </c>
      <c r="C66" s="4" t="s">
        <v>136</v>
      </c>
    </row>
    <row r="67" spans="1:3" s="5" customFormat="1" ht="20.100000000000001" customHeight="1" x14ac:dyDescent="0.2">
      <c r="A67" s="30"/>
      <c r="B67" s="5" t="s">
        <v>135</v>
      </c>
      <c r="C67" s="5" t="s">
        <v>136</v>
      </c>
    </row>
  </sheetData>
  <mergeCells count="17">
    <mergeCell ref="B35:B38"/>
    <mergeCell ref="B40:B42"/>
    <mergeCell ref="B48:B50"/>
    <mergeCell ref="A64:A67"/>
    <mergeCell ref="A7:A18"/>
    <mergeCell ref="B56:B58"/>
    <mergeCell ref="B7:B10"/>
    <mergeCell ref="B11:B13"/>
    <mergeCell ref="B15:B18"/>
    <mergeCell ref="B20:B23"/>
    <mergeCell ref="B25:B28"/>
    <mergeCell ref="A20:A50"/>
    <mergeCell ref="B44:B46"/>
    <mergeCell ref="A52:A62"/>
    <mergeCell ref="B52:B55"/>
    <mergeCell ref="B60:B62"/>
    <mergeCell ref="B30:B33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AF949-03E5-4E6E-B7CB-0D2F8A5AE350}">
  <dimension ref="A1:Q67"/>
  <sheetViews>
    <sheetView topLeftCell="A37" workbookViewId="0">
      <selection activeCell="D48" sqref="D48:Q50"/>
    </sheetView>
  </sheetViews>
  <sheetFormatPr defaultColWidth="16.625" defaultRowHeight="20.100000000000001" customHeight="1" x14ac:dyDescent="0.2"/>
  <cols>
    <col min="1" max="3" width="16.625" style="2"/>
  </cols>
  <sheetData>
    <row r="1" spans="1:14" ht="20.100000000000001" customHeight="1" x14ac:dyDescent="0.2">
      <c r="D1" s="2"/>
      <c r="E1" s="2"/>
    </row>
    <row r="2" spans="1:14" ht="20.100000000000001" customHeight="1" x14ac:dyDescent="0.2">
      <c r="D2" s="2"/>
      <c r="E2" s="2"/>
    </row>
    <row r="3" spans="1:14" ht="20.100000000000001" customHeight="1" x14ac:dyDescent="0.2">
      <c r="D3" s="2" t="s">
        <v>0</v>
      </c>
      <c r="E3" s="2"/>
    </row>
    <row r="4" spans="1:14" s="11" customFormat="1" ht="20.100000000000001" customHeight="1" x14ac:dyDescent="0.2">
      <c r="A4" s="1"/>
      <c r="B4" s="1"/>
      <c r="C4" s="1"/>
      <c r="D4" s="1" t="s">
        <v>84</v>
      </c>
      <c r="E4" s="1" t="s">
        <v>85</v>
      </c>
      <c r="F4" s="1" t="s">
        <v>86</v>
      </c>
      <c r="G4" s="1" t="s">
        <v>87</v>
      </c>
      <c r="H4" s="1" t="s">
        <v>88</v>
      </c>
      <c r="I4" s="1" t="s">
        <v>89</v>
      </c>
      <c r="J4" s="1" t="s">
        <v>90</v>
      </c>
      <c r="K4" s="1" t="s">
        <v>91</v>
      </c>
      <c r="L4" s="1" t="s">
        <v>92</v>
      </c>
      <c r="M4" s="1" t="s">
        <v>93</v>
      </c>
      <c r="N4" s="1" t="s">
        <v>94</v>
      </c>
    </row>
    <row r="5" spans="1:14" s="11" customFormat="1" ht="20.100000000000001" customHeight="1" x14ac:dyDescent="0.2">
      <c r="A5" s="1"/>
      <c r="B5" s="1"/>
      <c r="C5" s="1" t="s">
        <v>125</v>
      </c>
      <c r="D5" s="1">
        <v>4</v>
      </c>
      <c r="E5" s="1">
        <v>4</v>
      </c>
      <c r="F5" s="1">
        <v>4</v>
      </c>
      <c r="G5" s="1">
        <v>4</v>
      </c>
      <c r="H5" s="1">
        <v>4</v>
      </c>
      <c r="I5" s="1">
        <v>4</v>
      </c>
      <c r="J5" s="1">
        <v>4</v>
      </c>
      <c r="K5" s="1">
        <v>4</v>
      </c>
      <c r="L5" s="1">
        <v>4</v>
      </c>
      <c r="M5" s="1">
        <v>4</v>
      </c>
      <c r="N5" s="1">
        <v>4</v>
      </c>
    </row>
    <row r="6" spans="1:14" s="11" customFormat="1" ht="20.100000000000001" customHeight="1" x14ac:dyDescent="0.2">
      <c r="A6" s="1"/>
      <c r="B6" s="1"/>
      <c r="C6" s="1" t="s">
        <v>126</v>
      </c>
      <c r="D6" s="1">
        <v>1</v>
      </c>
      <c r="E6" s="1">
        <v>1</v>
      </c>
      <c r="F6" s="1">
        <v>2</v>
      </c>
      <c r="G6" s="1">
        <v>2</v>
      </c>
      <c r="H6" s="1">
        <v>3</v>
      </c>
      <c r="I6" s="1">
        <v>3</v>
      </c>
      <c r="J6" s="1">
        <v>4</v>
      </c>
      <c r="K6" s="1">
        <v>4</v>
      </c>
      <c r="L6" s="1">
        <v>5</v>
      </c>
      <c r="M6" s="1">
        <v>5</v>
      </c>
      <c r="N6" s="1">
        <v>5</v>
      </c>
    </row>
    <row r="7" spans="1:14" s="3" customFormat="1" ht="20.100000000000001" customHeight="1" x14ac:dyDescent="0.2">
      <c r="A7" s="18" t="s">
        <v>138</v>
      </c>
      <c r="B7" s="16" t="s">
        <v>24</v>
      </c>
      <c r="C7" s="3" t="s">
        <v>6</v>
      </c>
      <c r="D7" s="3">
        <v>17</v>
      </c>
    </row>
    <row r="8" spans="1:14" s="3" customFormat="1" ht="20.100000000000001" customHeight="1" x14ac:dyDescent="0.2">
      <c r="A8" s="18"/>
      <c r="B8" s="16"/>
      <c r="C8" s="3" t="s">
        <v>7</v>
      </c>
      <c r="D8" s="3">
        <v>200</v>
      </c>
    </row>
    <row r="9" spans="1:14" s="3" customFormat="1" ht="20.100000000000001" customHeight="1" x14ac:dyDescent="0.2">
      <c r="A9" s="18"/>
      <c r="B9" s="16"/>
      <c r="C9" s="3" t="s">
        <v>8</v>
      </c>
      <c r="D9" s="3">
        <v>6</v>
      </c>
    </row>
    <row r="10" spans="1:14" s="3" customFormat="1" ht="20.100000000000001" customHeight="1" x14ac:dyDescent="0.2">
      <c r="A10" s="18"/>
      <c r="B10" s="16"/>
      <c r="C10" s="3" t="s">
        <v>9</v>
      </c>
      <c r="D10" s="3" t="s">
        <v>27</v>
      </c>
    </row>
    <row r="11" spans="1:14" s="3" customFormat="1" ht="20.100000000000001" customHeight="1" x14ac:dyDescent="0.2">
      <c r="A11" s="18"/>
      <c r="B11" s="16" t="s">
        <v>30</v>
      </c>
      <c r="C11" s="3">
        <v>1</v>
      </c>
    </row>
    <row r="12" spans="1:14" s="3" customFormat="1" ht="20.100000000000001" customHeight="1" x14ac:dyDescent="0.2">
      <c r="A12" s="18"/>
      <c r="B12" s="16"/>
      <c r="C12" s="3">
        <v>2</v>
      </c>
    </row>
    <row r="13" spans="1:14" s="3" customFormat="1" ht="20.100000000000001" customHeight="1" x14ac:dyDescent="0.2">
      <c r="A13" s="18"/>
      <c r="B13" s="16"/>
      <c r="C13" s="3">
        <v>3</v>
      </c>
    </row>
    <row r="14" spans="1:14" s="2" customFormat="1" ht="20.100000000000001" customHeight="1" x14ac:dyDescent="0.2">
      <c r="A14" s="18"/>
    </row>
    <row r="15" spans="1:14" s="3" customFormat="1" ht="20.100000000000001" customHeight="1" x14ac:dyDescent="0.2">
      <c r="A15" s="18"/>
      <c r="B15" s="22" t="s">
        <v>1</v>
      </c>
      <c r="C15" s="3" t="s">
        <v>2</v>
      </c>
      <c r="D15" s="3">
        <v>0</v>
      </c>
    </row>
    <row r="16" spans="1:14" s="3" customFormat="1" ht="20.100000000000001" customHeight="1" x14ac:dyDescent="0.2">
      <c r="A16" s="18"/>
      <c r="B16" s="23"/>
      <c r="C16" s="3" t="s">
        <v>3</v>
      </c>
      <c r="D16" s="3">
        <v>0.3</v>
      </c>
    </row>
    <row r="17" spans="1:5" s="3" customFormat="1" ht="20.100000000000001" customHeight="1" x14ac:dyDescent="0.2">
      <c r="A17" s="18"/>
      <c r="B17" s="23"/>
      <c r="C17" s="3" t="s">
        <v>4</v>
      </c>
      <c r="D17" s="3">
        <v>0.05</v>
      </c>
    </row>
    <row r="18" spans="1:5" s="3" customFormat="1" ht="20.100000000000001" customHeight="1" x14ac:dyDescent="0.2">
      <c r="A18" s="18"/>
      <c r="B18" s="24"/>
      <c r="C18" s="3" t="s">
        <v>5</v>
      </c>
      <c r="D18" s="3">
        <v>0</v>
      </c>
    </row>
    <row r="19" spans="1:5" s="2" customFormat="1" ht="20.100000000000001" customHeight="1" x14ac:dyDescent="0.2">
      <c r="B19" s="10"/>
      <c r="C19" s="10"/>
      <c r="D19" s="10"/>
      <c r="E19" s="10"/>
    </row>
    <row r="20" spans="1:5" s="4" customFormat="1" ht="20.100000000000001" customHeight="1" x14ac:dyDescent="0.2">
      <c r="A20" s="19" t="s">
        <v>132</v>
      </c>
      <c r="B20" s="34" t="s">
        <v>12</v>
      </c>
      <c r="C20" s="4" t="s">
        <v>13</v>
      </c>
    </row>
    <row r="21" spans="1:5" s="4" customFormat="1" ht="20.100000000000001" customHeight="1" x14ac:dyDescent="0.2">
      <c r="A21" s="19"/>
      <c r="B21" s="34"/>
      <c r="C21" s="4" t="s">
        <v>7</v>
      </c>
    </row>
    <row r="22" spans="1:5" s="4" customFormat="1" ht="20.100000000000001" customHeight="1" x14ac:dyDescent="0.2">
      <c r="A22" s="19"/>
      <c r="B22" s="34"/>
      <c r="C22" s="4" t="s">
        <v>14</v>
      </c>
    </row>
    <row r="23" spans="1:5" s="4" customFormat="1" ht="20.100000000000001" customHeight="1" x14ac:dyDescent="0.2">
      <c r="A23" s="19"/>
      <c r="B23" s="34"/>
      <c r="C23" s="4" t="s">
        <v>15</v>
      </c>
    </row>
    <row r="24" spans="1:5" s="2" customFormat="1" ht="20.100000000000001" customHeight="1" x14ac:dyDescent="0.2">
      <c r="A24" s="19"/>
      <c r="B24" s="12"/>
      <c r="C24" s="10"/>
      <c r="D24" s="10"/>
      <c r="E24" s="10"/>
    </row>
    <row r="25" spans="1:5" s="4" customFormat="1" ht="20.100000000000001" customHeight="1" x14ac:dyDescent="0.2">
      <c r="A25" s="19"/>
      <c r="B25" s="34" t="s">
        <v>16</v>
      </c>
      <c r="C25" s="4" t="s">
        <v>13</v>
      </c>
    </row>
    <row r="26" spans="1:5" s="4" customFormat="1" ht="20.100000000000001" customHeight="1" x14ac:dyDescent="0.2">
      <c r="A26" s="19"/>
      <c r="B26" s="34"/>
      <c r="C26" s="4" t="s">
        <v>7</v>
      </c>
    </row>
    <row r="27" spans="1:5" s="4" customFormat="1" ht="20.100000000000001" customHeight="1" x14ac:dyDescent="0.2">
      <c r="A27" s="19"/>
      <c r="B27" s="34"/>
      <c r="C27" s="4" t="s">
        <v>14</v>
      </c>
    </row>
    <row r="28" spans="1:5" s="4" customFormat="1" ht="20.100000000000001" customHeight="1" x14ac:dyDescent="0.2">
      <c r="A28" s="19"/>
      <c r="B28" s="34"/>
      <c r="C28" s="4" t="s">
        <v>15</v>
      </c>
    </row>
    <row r="29" spans="1:5" s="2" customFormat="1" ht="20.100000000000001" customHeight="1" x14ac:dyDescent="0.2">
      <c r="A29" s="19"/>
      <c r="B29" s="13"/>
      <c r="C29" s="9"/>
      <c r="D29" s="9"/>
      <c r="E29" s="9"/>
    </row>
    <row r="30" spans="1:5" s="4" customFormat="1" ht="20.100000000000001" customHeight="1" x14ac:dyDescent="0.2">
      <c r="A30" s="19"/>
      <c r="B30" s="35" t="s">
        <v>17</v>
      </c>
      <c r="C30" s="4" t="s">
        <v>13</v>
      </c>
    </row>
    <row r="31" spans="1:5" s="4" customFormat="1" ht="20.100000000000001" customHeight="1" x14ac:dyDescent="0.2">
      <c r="A31" s="19"/>
      <c r="B31" s="36"/>
      <c r="C31" s="4" t="s">
        <v>7</v>
      </c>
    </row>
    <row r="32" spans="1:5" s="4" customFormat="1" ht="20.100000000000001" customHeight="1" x14ac:dyDescent="0.2">
      <c r="A32" s="19"/>
      <c r="B32" s="36"/>
      <c r="C32" s="4" t="s">
        <v>14</v>
      </c>
    </row>
    <row r="33" spans="1:17" s="4" customFormat="1" ht="20.100000000000001" customHeight="1" x14ac:dyDescent="0.2">
      <c r="A33" s="19"/>
      <c r="B33" s="37"/>
      <c r="C33" s="4" t="s">
        <v>15</v>
      </c>
    </row>
    <row r="34" spans="1:17" s="2" customFormat="1" ht="20.100000000000001" customHeight="1" x14ac:dyDescent="0.2">
      <c r="A34" s="19"/>
      <c r="B34" s="14"/>
      <c r="C34" s="1"/>
      <c r="D34" s="1"/>
      <c r="E34" s="1"/>
    </row>
    <row r="35" spans="1:17" s="4" customFormat="1" ht="20.100000000000001" customHeight="1" x14ac:dyDescent="0.2">
      <c r="A35" s="19"/>
      <c r="B35" s="35" t="s">
        <v>18</v>
      </c>
      <c r="C35" s="4" t="s">
        <v>13</v>
      </c>
    </row>
    <row r="36" spans="1:17" s="4" customFormat="1" ht="20.100000000000001" customHeight="1" x14ac:dyDescent="0.2">
      <c r="A36" s="19"/>
      <c r="B36" s="36"/>
      <c r="C36" s="4" t="s">
        <v>7</v>
      </c>
    </row>
    <row r="37" spans="1:17" s="4" customFormat="1" ht="20.100000000000001" customHeight="1" x14ac:dyDescent="0.2">
      <c r="A37" s="19"/>
      <c r="B37" s="36"/>
      <c r="C37" s="4" t="s">
        <v>14</v>
      </c>
    </row>
    <row r="38" spans="1:17" s="4" customFormat="1" ht="20.100000000000001" customHeight="1" x14ac:dyDescent="0.2">
      <c r="A38" s="19"/>
      <c r="B38" s="37"/>
      <c r="C38" s="4" t="s">
        <v>15</v>
      </c>
    </row>
    <row r="39" spans="1:17" s="2" customFormat="1" ht="20.100000000000001" customHeight="1" x14ac:dyDescent="0.2">
      <c r="A39" s="19"/>
      <c r="B39" s="14"/>
      <c r="C39" s="1"/>
      <c r="D39" s="1"/>
      <c r="E39" s="1"/>
    </row>
    <row r="40" spans="1:17" s="4" customFormat="1" ht="20.100000000000001" customHeight="1" x14ac:dyDescent="0.2">
      <c r="A40" s="19"/>
      <c r="B40" s="35" t="s">
        <v>19</v>
      </c>
      <c r="C40" s="4" t="s">
        <v>7</v>
      </c>
    </row>
    <row r="41" spans="1:17" s="4" customFormat="1" ht="20.100000000000001" customHeight="1" x14ac:dyDescent="0.2">
      <c r="A41" s="19"/>
      <c r="B41" s="36"/>
      <c r="C41" s="4" t="s">
        <v>14</v>
      </c>
    </row>
    <row r="42" spans="1:17" s="4" customFormat="1" ht="20.100000000000001" customHeight="1" x14ac:dyDescent="0.2">
      <c r="A42" s="19"/>
      <c r="B42" s="37"/>
      <c r="C42" s="4" t="s">
        <v>15</v>
      </c>
    </row>
    <row r="43" spans="1:17" s="2" customFormat="1" ht="20.100000000000001" customHeight="1" x14ac:dyDescent="0.2">
      <c r="A43" s="19"/>
      <c r="D43" s="7"/>
      <c r="E43" s="7"/>
    </row>
    <row r="44" spans="1:17" s="4" customFormat="1" ht="20.100000000000001" customHeight="1" x14ac:dyDescent="0.2">
      <c r="A44" s="19"/>
      <c r="B44" s="35" t="s">
        <v>30</v>
      </c>
      <c r="C44" s="4">
        <v>1</v>
      </c>
    </row>
    <row r="45" spans="1:17" s="4" customFormat="1" ht="20.100000000000001" customHeight="1" x14ac:dyDescent="0.2">
      <c r="A45" s="19"/>
      <c r="B45" s="36"/>
      <c r="C45" s="4">
        <v>2</v>
      </c>
    </row>
    <row r="46" spans="1:17" s="4" customFormat="1" ht="20.100000000000001" customHeight="1" x14ac:dyDescent="0.2">
      <c r="A46" s="19"/>
      <c r="B46" s="37"/>
      <c r="C46" s="4">
        <v>3</v>
      </c>
    </row>
    <row r="47" spans="1:17" s="2" customFormat="1" ht="20.100000000000001" customHeight="1" x14ac:dyDescent="0.2">
      <c r="A47" s="19"/>
      <c r="B47" s="15"/>
      <c r="C47" s="7"/>
      <c r="D47" s="8"/>
      <c r="E47" s="8"/>
    </row>
    <row r="48" spans="1:17" s="4" customFormat="1" ht="20.100000000000001" customHeight="1" x14ac:dyDescent="0.2">
      <c r="A48" s="19"/>
      <c r="B48" s="35" t="s">
        <v>28</v>
      </c>
      <c r="C48" s="4" t="s">
        <v>29</v>
      </c>
      <c r="D48" s="4">
        <f t="shared" ref="D48:Q48" si="0">D20+D25+D30+D35</f>
        <v>0</v>
      </c>
      <c r="E48" s="4">
        <f t="shared" si="0"/>
        <v>0</v>
      </c>
      <c r="F48" s="4">
        <f t="shared" si="0"/>
        <v>0</v>
      </c>
      <c r="G48" s="4">
        <f t="shared" si="0"/>
        <v>0</v>
      </c>
      <c r="H48" s="4">
        <f t="shared" si="0"/>
        <v>0</v>
      </c>
      <c r="I48" s="4">
        <f t="shared" si="0"/>
        <v>0</v>
      </c>
      <c r="J48" s="4">
        <f t="shared" si="0"/>
        <v>0</v>
      </c>
      <c r="K48" s="4">
        <f t="shared" si="0"/>
        <v>0</v>
      </c>
      <c r="L48" s="4">
        <f t="shared" si="0"/>
        <v>0</v>
      </c>
      <c r="M48" s="4">
        <f t="shared" si="0"/>
        <v>0</v>
      </c>
      <c r="N48" s="4">
        <f t="shared" si="0"/>
        <v>0</v>
      </c>
      <c r="O48" s="4">
        <f t="shared" si="0"/>
        <v>0</v>
      </c>
      <c r="P48" s="4">
        <f t="shared" si="0"/>
        <v>0</v>
      </c>
      <c r="Q48" s="4">
        <f t="shared" si="0"/>
        <v>0</v>
      </c>
    </row>
    <row r="49" spans="1:17" s="4" customFormat="1" ht="20.100000000000001" customHeight="1" x14ac:dyDescent="0.2">
      <c r="A49" s="19"/>
      <c r="B49" s="36"/>
      <c r="C49" s="4" t="s">
        <v>130</v>
      </c>
      <c r="D49" s="4">
        <f t="shared" ref="D49:Q49" si="1">D22+D27+D32+D37+D41</f>
        <v>0</v>
      </c>
      <c r="E49" s="4">
        <f t="shared" si="1"/>
        <v>0</v>
      </c>
      <c r="F49" s="4">
        <f t="shared" si="1"/>
        <v>0</v>
      </c>
      <c r="G49" s="4">
        <f t="shared" si="1"/>
        <v>0</v>
      </c>
      <c r="H49" s="4">
        <f t="shared" si="1"/>
        <v>0</v>
      </c>
      <c r="I49" s="4">
        <f t="shared" si="1"/>
        <v>0</v>
      </c>
      <c r="J49" s="4">
        <f t="shared" si="1"/>
        <v>0</v>
      </c>
      <c r="K49" s="4">
        <f t="shared" si="1"/>
        <v>0</v>
      </c>
      <c r="L49" s="4">
        <f t="shared" si="1"/>
        <v>0</v>
      </c>
      <c r="M49" s="4">
        <f t="shared" si="1"/>
        <v>0</v>
      </c>
      <c r="N49" s="4">
        <f t="shared" si="1"/>
        <v>0</v>
      </c>
      <c r="O49" s="4">
        <f t="shared" si="1"/>
        <v>0</v>
      </c>
      <c r="P49" s="4">
        <f t="shared" si="1"/>
        <v>0</v>
      </c>
      <c r="Q49" s="4">
        <f t="shared" si="1"/>
        <v>0</v>
      </c>
    </row>
    <row r="50" spans="1:17" s="4" customFormat="1" ht="20.100000000000001" customHeight="1" x14ac:dyDescent="0.2">
      <c r="A50" s="19"/>
      <c r="B50" s="37"/>
      <c r="C50" s="4" t="s">
        <v>131</v>
      </c>
      <c r="D50" s="4">
        <f>D48*(1+D49*0.02)</f>
        <v>0</v>
      </c>
      <c r="E50" s="4">
        <f>E48*(1+E49*0.02)</f>
        <v>0</v>
      </c>
      <c r="F50" s="4">
        <f t="shared" ref="F50:Q50" si="2">F48*(1+F49*0.02)</f>
        <v>0</v>
      </c>
      <c r="G50" s="4">
        <f t="shared" si="2"/>
        <v>0</v>
      </c>
      <c r="H50" s="4">
        <f t="shared" si="2"/>
        <v>0</v>
      </c>
      <c r="I50" s="4">
        <f t="shared" si="2"/>
        <v>0</v>
      </c>
      <c r="J50" s="4">
        <f t="shared" si="2"/>
        <v>0</v>
      </c>
      <c r="K50" s="4">
        <f t="shared" si="2"/>
        <v>0</v>
      </c>
      <c r="L50" s="4">
        <f t="shared" si="2"/>
        <v>0</v>
      </c>
      <c r="M50" s="4">
        <f t="shared" si="2"/>
        <v>0</v>
      </c>
      <c r="N50" s="4">
        <f t="shared" si="2"/>
        <v>0</v>
      </c>
      <c r="O50" s="4">
        <f t="shared" si="2"/>
        <v>0</v>
      </c>
      <c r="P50" s="4">
        <f t="shared" si="2"/>
        <v>0</v>
      </c>
      <c r="Q50" s="4">
        <f t="shared" si="2"/>
        <v>0</v>
      </c>
    </row>
    <row r="51" spans="1:17" s="7" customFormat="1" ht="20.100000000000001" customHeight="1" x14ac:dyDescent="0.2">
      <c r="A51" s="2"/>
      <c r="B51" s="8"/>
      <c r="C51" s="8"/>
    </row>
    <row r="52" spans="1:17" s="5" customFormat="1" ht="20.100000000000001" customHeight="1" x14ac:dyDescent="0.2">
      <c r="A52" s="33" t="s">
        <v>137</v>
      </c>
      <c r="B52" s="33" t="s">
        <v>20</v>
      </c>
      <c r="C52" s="5" t="s">
        <v>21</v>
      </c>
    </row>
    <row r="53" spans="1:17" s="5" customFormat="1" ht="20.100000000000001" customHeight="1" x14ac:dyDescent="0.2">
      <c r="A53" s="20"/>
      <c r="B53" s="20"/>
      <c r="C53" s="5" t="s">
        <v>7</v>
      </c>
    </row>
    <row r="54" spans="1:17" s="5" customFormat="1" ht="20.100000000000001" customHeight="1" x14ac:dyDescent="0.2">
      <c r="A54" s="20"/>
      <c r="B54" s="20"/>
      <c r="C54" s="5" t="s">
        <v>22</v>
      </c>
    </row>
    <row r="55" spans="1:17" s="5" customFormat="1" ht="20.100000000000001" customHeight="1" x14ac:dyDescent="0.2">
      <c r="A55" s="20"/>
      <c r="B55" s="21"/>
      <c r="C55" s="5" t="s">
        <v>23</v>
      </c>
    </row>
    <row r="56" spans="1:17" s="5" customFormat="1" ht="20.100000000000001" customHeight="1" x14ac:dyDescent="0.2">
      <c r="A56" s="20"/>
      <c r="B56" s="33" t="s">
        <v>30</v>
      </c>
      <c r="C56" s="5">
        <v>1</v>
      </c>
    </row>
    <row r="57" spans="1:17" s="5" customFormat="1" ht="20.100000000000001" customHeight="1" x14ac:dyDescent="0.2">
      <c r="A57" s="20"/>
      <c r="B57" s="20"/>
      <c r="C57" s="5">
        <v>2</v>
      </c>
    </row>
    <row r="58" spans="1:17" s="5" customFormat="1" ht="20.100000000000001" customHeight="1" x14ac:dyDescent="0.2">
      <c r="A58" s="20"/>
      <c r="B58" s="21"/>
      <c r="C58" s="5">
        <v>3</v>
      </c>
    </row>
    <row r="59" spans="1:17" s="2" customFormat="1" ht="20.100000000000001" customHeight="1" x14ac:dyDescent="0.2">
      <c r="A59" s="20"/>
      <c r="B59" s="9"/>
      <c r="C59" s="9"/>
      <c r="D59" s="9"/>
      <c r="E59" s="9"/>
    </row>
    <row r="60" spans="1:17" s="5" customFormat="1" ht="20.100000000000001" customHeight="1" x14ac:dyDescent="0.2">
      <c r="A60" s="20"/>
      <c r="B60" s="33" t="s">
        <v>25</v>
      </c>
      <c r="C60" s="5" t="s">
        <v>2</v>
      </c>
    </row>
    <row r="61" spans="1:17" s="5" customFormat="1" ht="20.100000000000001" customHeight="1" x14ac:dyDescent="0.2">
      <c r="A61" s="20"/>
      <c r="B61" s="20"/>
      <c r="C61" s="5" t="s">
        <v>23</v>
      </c>
    </row>
    <row r="62" spans="1:17" s="5" customFormat="1" ht="20.100000000000001" customHeight="1" x14ac:dyDescent="0.2">
      <c r="A62" s="21"/>
      <c r="B62" s="21"/>
      <c r="C62" s="5" t="s">
        <v>6</v>
      </c>
    </row>
    <row r="63" spans="1:17" s="2" customFormat="1" ht="20.100000000000001" customHeight="1" x14ac:dyDescent="0.2"/>
    <row r="64" spans="1:17" s="6" customFormat="1" ht="20.100000000000001" customHeight="1" x14ac:dyDescent="0.2">
      <c r="A64" s="28" t="s">
        <v>26</v>
      </c>
      <c r="B64" s="6" t="s">
        <v>10</v>
      </c>
      <c r="C64" s="6" t="s">
        <v>11</v>
      </c>
    </row>
    <row r="65" spans="1:3" s="4" customFormat="1" ht="20.100000000000001" customHeight="1" x14ac:dyDescent="0.2">
      <c r="A65" s="29"/>
      <c r="B65" s="4" t="s">
        <v>133</v>
      </c>
      <c r="C65" s="4" t="s">
        <v>136</v>
      </c>
    </row>
    <row r="66" spans="1:3" s="4" customFormat="1" ht="20.100000000000001" customHeight="1" x14ac:dyDescent="0.2">
      <c r="A66" s="29"/>
      <c r="B66" s="4" t="s">
        <v>134</v>
      </c>
      <c r="C66" s="4" t="s">
        <v>136</v>
      </c>
    </row>
    <row r="67" spans="1:3" s="5" customFormat="1" ht="20.100000000000001" customHeight="1" x14ac:dyDescent="0.2">
      <c r="A67" s="30"/>
      <c r="B67" s="5" t="s">
        <v>135</v>
      </c>
      <c r="C67" s="5" t="s">
        <v>136</v>
      </c>
    </row>
  </sheetData>
  <mergeCells count="17">
    <mergeCell ref="B35:B38"/>
    <mergeCell ref="B40:B42"/>
    <mergeCell ref="B48:B50"/>
    <mergeCell ref="A64:A67"/>
    <mergeCell ref="A7:A18"/>
    <mergeCell ref="B56:B58"/>
    <mergeCell ref="B7:B10"/>
    <mergeCell ref="B11:B13"/>
    <mergeCell ref="B15:B18"/>
    <mergeCell ref="B20:B23"/>
    <mergeCell ref="B25:B28"/>
    <mergeCell ref="A20:A50"/>
    <mergeCell ref="B44:B46"/>
    <mergeCell ref="A52:A62"/>
    <mergeCell ref="B52:B55"/>
    <mergeCell ref="B60:B62"/>
    <mergeCell ref="B30:B33"/>
  </mergeCells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C480B-7650-4DE9-B7AF-42C282E029C5}">
  <dimension ref="A1:AB67"/>
  <sheetViews>
    <sheetView topLeftCell="A37" workbookViewId="0">
      <selection activeCell="D48" sqref="D48:Q50"/>
    </sheetView>
  </sheetViews>
  <sheetFormatPr defaultColWidth="16.625" defaultRowHeight="20.100000000000001" customHeight="1" x14ac:dyDescent="0.2"/>
  <cols>
    <col min="1" max="3" width="16.625" style="2"/>
  </cols>
  <sheetData>
    <row r="1" spans="1:28" ht="20.100000000000001" customHeight="1" x14ac:dyDescent="0.2">
      <c r="D1" s="2"/>
      <c r="E1" s="2"/>
    </row>
    <row r="2" spans="1:28" ht="20.100000000000001" customHeight="1" x14ac:dyDescent="0.2">
      <c r="D2" s="2"/>
      <c r="E2" s="2"/>
    </row>
    <row r="3" spans="1:28" ht="20.100000000000001" customHeight="1" x14ac:dyDescent="0.2">
      <c r="D3" s="2" t="s">
        <v>0</v>
      </c>
      <c r="E3" s="2"/>
    </row>
    <row r="4" spans="1:28" s="11" customFormat="1" ht="20.100000000000001" customHeight="1" x14ac:dyDescent="0.2">
      <c r="A4" s="1"/>
      <c r="B4" s="1"/>
      <c r="C4" s="1"/>
      <c r="D4" s="1" t="s">
        <v>95</v>
      </c>
      <c r="E4" s="1" t="s">
        <v>96</v>
      </c>
      <c r="F4" s="1" t="s">
        <v>97</v>
      </c>
      <c r="G4" s="1" t="s">
        <v>98</v>
      </c>
      <c r="H4" s="1" t="s">
        <v>99</v>
      </c>
      <c r="I4" s="1" t="s">
        <v>100</v>
      </c>
      <c r="J4" s="1" t="s">
        <v>101</v>
      </c>
      <c r="K4" s="1" t="s">
        <v>102</v>
      </c>
      <c r="L4" s="1" t="s">
        <v>103</v>
      </c>
      <c r="M4" s="1" t="s">
        <v>104</v>
      </c>
      <c r="N4" s="1" t="s">
        <v>105</v>
      </c>
      <c r="O4" s="1" t="s">
        <v>106</v>
      </c>
      <c r="P4" s="1" t="s">
        <v>107</v>
      </c>
      <c r="Q4" s="1" t="s">
        <v>108</v>
      </c>
      <c r="R4" s="1" t="s">
        <v>109</v>
      </c>
      <c r="S4" s="1" t="s">
        <v>110</v>
      </c>
      <c r="T4" s="1" t="s">
        <v>111</v>
      </c>
      <c r="U4" s="1" t="s">
        <v>112</v>
      </c>
      <c r="V4" s="1" t="s">
        <v>113</v>
      </c>
      <c r="W4" s="1" t="s">
        <v>114</v>
      </c>
      <c r="X4" s="1" t="s">
        <v>115</v>
      </c>
      <c r="Y4" s="1" t="s">
        <v>116</v>
      </c>
      <c r="Z4" s="1" t="s">
        <v>117</v>
      </c>
      <c r="AB4" s="1"/>
    </row>
    <row r="5" spans="1:28" s="11" customFormat="1" ht="20.100000000000001" customHeight="1" x14ac:dyDescent="0.2">
      <c r="A5" s="1"/>
      <c r="B5" s="1"/>
      <c r="C5" s="1" t="s">
        <v>125</v>
      </c>
      <c r="D5" s="1">
        <v>5</v>
      </c>
      <c r="E5" s="1">
        <v>5</v>
      </c>
      <c r="F5" s="1">
        <v>5</v>
      </c>
      <c r="G5" s="1">
        <v>5</v>
      </c>
      <c r="H5" s="1">
        <v>5</v>
      </c>
      <c r="I5" s="1">
        <v>5</v>
      </c>
      <c r="J5" s="1">
        <v>5</v>
      </c>
      <c r="K5" s="1">
        <v>5</v>
      </c>
      <c r="L5" s="1">
        <v>5</v>
      </c>
      <c r="M5" s="1">
        <v>5</v>
      </c>
      <c r="N5" s="1">
        <v>5</v>
      </c>
      <c r="O5" s="1">
        <v>5</v>
      </c>
      <c r="P5" s="1">
        <v>5</v>
      </c>
      <c r="Q5" s="1">
        <v>5</v>
      </c>
      <c r="R5" s="1">
        <v>5</v>
      </c>
      <c r="S5" s="1">
        <v>5</v>
      </c>
      <c r="T5" s="1">
        <v>5</v>
      </c>
      <c r="U5" s="1">
        <v>5</v>
      </c>
      <c r="V5" s="1">
        <v>5</v>
      </c>
      <c r="W5" s="1">
        <v>5</v>
      </c>
      <c r="X5" s="1">
        <v>5</v>
      </c>
      <c r="Y5" s="1">
        <v>5</v>
      </c>
      <c r="Z5" s="1">
        <v>5</v>
      </c>
      <c r="AB5" s="1"/>
    </row>
    <row r="6" spans="1:28" s="11" customFormat="1" ht="20.100000000000001" customHeight="1" x14ac:dyDescent="0.2">
      <c r="A6" s="1"/>
      <c r="B6" s="1"/>
      <c r="C6" s="1" t="s">
        <v>126</v>
      </c>
      <c r="D6" s="1">
        <v>1</v>
      </c>
      <c r="E6" s="1">
        <v>1</v>
      </c>
      <c r="F6" s="1">
        <v>1</v>
      </c>
      <c r="G6" s="1">
        <v>1</v>
      </c>
      <c r="H6" s="1">
        <v>1</v>
      </c>
      <c r="I6" s="1">
        <v>1</v>
      </c>
      <c r="J6" s="1">
        <v>2</v>
      </c>
      <c r="K6" s="1">
        <v>2</v>
      </c>
      <c r="L6" s="1">
        <v>2</v>
      </c>
      <c r="M6" s="1">
        <v>3</v>
      </c>
      <c r="N6" s="1">
        <v>3</v>
      </c>
      <c r="O6" s="1">
        <v>3</v>
      </c>
      <c r="P6" s="1">
        <v>3</v>
      </c>
      <c r="Q6" s="1">
        <v>3</v>
      </c>
      <c r="R6" s="1">
        <v>4</v>
      </c>
      <c r="S6" s="1">
        <v>5</v>
      </c>
      <c r="T6" s="1">
        <v>5</v>
      </c>
      <c r="U6" s="1">
        <v>5</v>
      </c>
      <c r="V6" s="1">
        <v>5</v>
      </c>
      <c r="W6" s="1">
        <v>6</v>
      </c>
      <c r="X6" s="1">
        <v>6</v>
      </c>
      <c r="Y6" s="1">
        <v>6</v>
      </c>
      <c r="Z6" s="1">
        <v>6</v>
      </c>
      <c r="AB6" s="1"/>
    </row>
    <row r="7" spans="1:28" s="3" customFormat="1" ht="20.100000000000001" customHeight="1" x14ac:dyDescent="0.2">
      <c r="A7" s="18" t="s">
        <v>138</v>
      </c>
      <c r="B7" s="16" t="s">
        <v>24</v>
      </c>
      <c r="C7" s="3" t="s">
        <v>6</v>
      </c>
      <c r="D7" s="3">
        <v>17</v>
      </c>
    </row>
    <row r="8" spans="1:28" s="3" customFormat="1" ht="20.100000000000001" customHeight="1" x14ac:dyDescent="0.2">
      <c r="A8" s="18"/>
      <c r="B8" s="16"/>
      <c r="C8" s="3" t="s">
        <v>7</v>
      </c>
      <c r="D8" s="3">
        <v>200</v>
      </c>
    </row>
    <row r="9" spans="1:28" s="3" customFormat="1" ht="20.100000000000001" customHeight="1" x14ac:dyDescent="0.2">
      <c r="A9" s="18"/>
      <c r="B9" s="16"/>
      <c r="C9" s="3" t="s">
        <v>8</v>
      </c>
      <c r="D9" s="3">
        <v>6</v>
      </c>
    </row>
    <row r="10" spans="1:28" s="3" customFormat="1" ht="20.100000000000001" customHeight="1" x14ac:dyDescent="0.2">
      <c r="A10" s="18"/>
      <c r="B10" s="16"/>
      <c r="C10" s="3" t="s">
        <v>9</v>
      </c>
      <c r="D10" s="3" t="s">
        <v>27</v>
      </c>
    </row>
    <row r="11" spans="1:28" s="3" customFormat="1" ht="20.100000000000001" customHeight="1" x14ac:dyDescent="0.2">
      <c r="A11" s="18"/>
      <c r="B11" s="16" t="s">
        <v>30</v>
      </c>
      <c r="C11" s="3">
        <v>1</v>
      </c>
    </row>
    <row r="12" spans="1:28" s="3" customFormat="1" ht="20.100000000000001" customHeight="1" x14ac:dyDescent="0.2">
      <c r="A12" s="18"/>
      <c r="B12" s="16"/>
      <c r="C12" s="3">
        <v>2</v>
      </c>
    </row>
    <row r="13" spans="1:28" s="3" customFormat="1" ht="20.100000000000001" customHeight="1" x14ac:dyDescent="0.2">
      <c r="A13" s="18"/>
      <c r="B13" s="16"/>
      <c r="C13" s="3">
        <v>3</v>
      </c>
    </row>
    <row r="14" spans="1:28" s="2" customFormat="1" ht="20.100000000000001" customHeight="1" x14ac:dyDescent="0.2">
      <c r="A14" s="18"/>
    </row>
    <row r="15" spans="1:28" s="3" customFormat="1" ht="20.100000000000001" customHeight="1" x14ac:dyDescent="0.2">
      <c r="A15" s="18"/>
      <c r="B15" s="22" t="s">
        <v>1</v>
      </c>
      <c r="C15" s="3" t="s">
        <v>2</v>
      </c>
      <c r="D15" s="3">
        <v>0</v>
      </c>
    </row>
    <row r="16" spans="1:28" s="3" customFormat="1" ht="20.100000000000001" customHeight="1" x14ac:dyDescent="0.2">
      <c r="A16" s="18"/>
      <c r="B16" s="23"/>
      <c r="C16" s="3" t="s">
        <v>3</v>
      </c>
      <c r="D16" s="3">
        <v>0.3</v>
      </c>
    </row>
    <row r="17" spans="1:5" s="3" customFormat="1" ht="20.100000000000001" customHeight="1" x14ac:dyDescent="0.2">
      <c r="A17" s="18"/>
      <c r="B17" s="23"/>
      <c r="C17" s="3" t="s">
        <v>4</v>
      </c>
      <c r="D17" s="3">
        <v>0.05</v>
      </c>
    </row>
    <row r="18" spans="1:5" s="3" customFormat="1" ht="20.100000000000001" customHeight="1" x14ac:dyDescent="0.2">
      <c r="A18" s="18"/>
      <c r="B18" s="24"/>
      <c r="C18" s="3" t="s">
        <v>5</v>
      </c>
      <c r="D18" s="3">
        <v>0</v>
      </c>
    </row>
    <row r="19" spans="1:5" s="2" customFormat="1" ht="20.100000000000001" customHeight="1" x14ac:dyDescent="0.2">
      <c r="B19" s="10"/>
      <c r="C19" s="10"/>
      <c r="D19" s="10"/>
      <c r="E19" s="10"/>
    </row>
    <row r="20" spans="1:5" s="4" customFormat="1" ht="20.100000000000001" customHeight="1" x14ac:dyDescent="0.2">
      <c r="A20" s="19" t="s">
        <v>132</v>
      </c>
      <c r="B20" s="34" t="s">
        <v>12</v>
      </c>
      <c r="C20" s="4" t="s">
        <v>13</v>
      </c>
    </row>
    <row r="21" spans="1:5" s="4" customFormat="1" ht="20.100000000000001" customHeight="1" x14ac:dyDescent="0.2">
      <c r="A21" s="19"/>
      <c r="B21" s="34"/>
      <c r="C21" s="4" t="s">
        <v>7</v>
      </c>
    </row>
    <row r="22" spans="1:5" s="4" customFormat="1" ht="20.100000000000001" customHeight="1" x14ac:dyDescent="0.2">
      <c r="A22" s="19"/>
      <c r="B22" s="34"/>
      <c r="C22" s="4" t="s">
        <v>14</v>
      </c>
    </row>
    <row r="23" spans="1:5" s="4" customFormat="1" ht="20.100000000000001" customHeight="1" x14ac:dyDescent="0.2">
      <c r="A23" s="19"/>
      <c r="B23" s="34"/>
      <c r="C23" s="4" t="s">
        <v>15</v>
      </c>
    </row>
    <row r="24" spans="1:5" s="2" customFormat="1" ht="20.100000000000001" customHeight="1" x14ac:dyDescent="0.2">
      <c r="A24" s="19"/>
      <c r="B24" s="12"/>
      <c r="C24" s="10"/>
      <c r="D24" s="10"/>
      <c r="E24" s="10"/>
    </row>
    <row r="25" spans="1:5" s="4" customFormat="1" ht="20.100000000000001" customHeight="1" x14ac:dyDescent="0.2">
      <c r="A25" s="19"/>
      <c r="B25" s="34" t="s">
        <v>16</v>
      </c>
      <c r="C25" s="4" t="s">
        <v>13</v>
      </c>
    </row>
    <row r="26" spans="1:5" s="4" customFormat="1" ht="20.100000000000001" customHeight="1" x14ac:dyDescent="0.2">
      <c r="A26" s="19"/>
      <c r="B26" s="34"/>
      <c r="C26" s="4" t="s">
        <v>7</v>
      </c>
    </row>
    <row r="27" spans="1:5" s="4" customFormat="1" ht="20.100000000000001" customHeight="1" x14ac:dyDescent="0.2">
      <c r="A27" s="19"/>
      <c r="B27" s="34"/>
      <c r="C27" s="4" t="s">
        <v>14</v>
      </c>
    </row>
    <row r="28" spans="1:5" s="4" customFormat="1" ht="20.100000000000001" customHeight="1" x14ac:dyDescent="0.2">
      <c r="A28" s="19"/>
      <c r="B28" s="34"/>
      <c r="C28" s="4" t="s">
        <v>15</v>
      </c>
    </row>
    <row r="29" spans="1:5" s="2" customFormat="1" ht="20.100000000000001" customHeight="1" x14ac:dyDescent="0.2">
      <c r="A29" s="19"/>
      <c r="B29" s="13"/>
      <c r="C29" s="9"/>
      <c r="D29" s="9"/>
      <c r="E29" s="9"/>
    </row>
    <row r="30" spans="1:5" s="4" customFormat="1" ht="20.100000000000001" customHeight="1" x14ac:dyDescent="0.2">
      <c r="A30" s="19"/>
      <c r="B30" s="35" t="s">
        <v>17</v>
      </c>
      <c r="C30" s="4" t="s">
        <v>13</v>
      </c>
    </row>
    <row r="31" spans="1:5" s="4" customFormat="1" ht="20.100000000000001" customHeight="1" x14ac:dyDescent="0.2">
      <c r="A31" s="19"/>
      <c r="B31" s="36"/>
      <c r="C31" s="4" t="s">
        <v>7</v>
      </c>
    </row>
    <row r="32" spans="1:5" s="4" customFormat="1" ht="20.100000000000001" customHeight="1" x14ac:dyDescent="0.2">
      <c r="A32" s="19"/>
      <c r="B32" s="36"/>
      <c r="C32" s="4" t="s">
        <v>14</v>
      </c>
    </row>
    <row r="33" spans="1:17" s="4" customFormat="1" ht="20.100000000000001" customHeight="1" x14ac:dyDescent="0.2">
      <c r="A33" s="19"/>
      <c r="B33" s="37"/>
      <c r="C33" s="4" t="s">
        <v>15</v>
      </c>
    </row>
    <row r="34" spans="1:17" s="2" customFormat="1" ht="20.100000000000001" customHeight="1" x14ac:dyDescent="0.2">
      <c r="A34" s="19"/>
      <c r="B34" s="14"/>
      <c r="C34" s="1"/>
      <c r="D34" s="1"/>
      <c r="E34" s="1"/>
    </row>
    <row r="35" spans="1:17" s="4" customFormat="1" ht="20.100000000000001" customHeight="1" x14ac:dyDescent="0.2">
      <c r="A35" s="19"/>
      <c r="B35" s="35" t="s">
        <v>18</v>
      </c>
      <c r="C35" s="4" t="s">
        <v>13</v>
      </c>
    </row>
    <row r="36" spans="1:17" s="4" customFormat="1" ht="20.100000000000001" customHeight="1" x14ac:dyDescent="0.2">
      <c r="A36" s="19"/>
      <c r="B36" s="36"/>
      <c r="C36" s="4" t="s">
        <v>7</v>
      </c>
    </row>
    <row r="37" spans="1:17" s="4" customFormat="1" ht="20.100000000000001" customHeight="1" x14ac:dyDescent="0.2">
      <c r="A37" s="19"/>
      <c r="B37" s="36"/>
      <c r="C37" s="4" t="s">
        <v>14</v>
      </c>
    </row>
    <row r="38" spans="1:17" s="4" customFormat="1" ht="20.100000000000001" customHeight="1" x14ac:dyDescent="0.2">
      <c r="A38" s="19"/>
      <c r="B38" s="37"/>
      <c r="C38" s="4" t="s">
        <v>15</v>
      </c>
    </row>
    <row r="39" spans="1:17" s="2" customFormat="1" ht="20.100000000000001" customHeight="1" x14ac:dyDescent="0.2">
      <c r="A39" s="19"/>
      <c r="B39" s="14"/>
      <c r="C39" s="1"/>
      <c r="D39" s="1"/>
      <c r="E39" s="1"/>
    </row>
    <row r="40" spans="1:17" s="4" customFormat="1" ht="20.100000000000001" customHeight="1" x14ac:dyDescent="0.2">
      <c r="A40" s="19"/>
      <c r="B40" s="35" t="s">
        <v>19</v>
      </c>
      <c r="C40" s="4" t="s">
        <v>7</v>
      </c>
    </row>
    <row r="41" spans="1:17" s="4" customFormat="1" ht="20.100000000000001" customHeight="1" x14ac:dyDescent="0.2">
      <c r="A41" s="19"/>
      <c r="B41" s="36"/>
      <c r="C41" s="4" t="s">
        <v>14</v>
      </c>
    </row>
    <row r="42" spans="1:17" s="4" customFormat="1" ht="20.100000000000001" customHeight="1" x14ac:dyDescent="0.2">
      <c r="A42" s="19"/>
      <c r="B42" s="37"/>
      <c r="C42" s="4" t="s">
        <v>15</v>
      </c>
    </row>
    <row r="43" spans="1:17" s="2" customFormat="1" ht="20.100000000000001" customHeight="1" x14ac:dyDescent="0.2">
      <c r="A43" s="19"/>
      <c r="D43" s="7"/>
      <c r="E43" s="7"/>
    </row>
    <row r="44" spans="1:17" s="4" customFormat="1" ht="20.100000000000001" customHeight="1" x14ac:dyDescent="0.2">
      <c r="A44" s="19"/>
      <c r="B44" s="35" t="s">
        <v>30</v>
      </c>
      <c r="C44" s="4">
        <v>1</v>
      </c>
    </row>
    <row r="45" spans="1:17" s="4" customFormat="1" ht="20.100000000000001" customHeight="1" x14ac:dyDescent="0.2">
      <c r="A45" s="19"/>
      <c r="B45" s="36"/>
      <c r="C45" s="4">
        <v>2</v>
      </c>
    </row>
    <row r="46" spans="1:17" s="4" customFormat="1" ht="20.100000000000001" customHeight="1" x14ac:dyDescent="0.2">
      <c r="A46" s="19"/>
      <c r="B46" s="37"/>
      <c r="C46" s="4">
        <v>3</v>
      </c>
    </row>
    <row r="47" spans="1:17" s="2" customFormat="1" ht="20.100000000000001" customHeight="1" x14ac:dyDescent="0.2">
      <c r="A47" s="19"/>
      <c r="B47" s="15"/>
      <c r="C47" s="7"/>
      <c r="D47" s="8"/>
      <c r="E47" s="8"/>
    </row>
    <row r="48" spans="1:17" s="4" customFormat="1" ht="20.100000000000001" customHeight="1" x14ac:dyDescent="0.2">
      <c r="A48" s="19"/>
      <c r="B48" s="35" t="s">
        <v>28</v>
      </c>
      <c r="C48" s="4" t="s">
        <v>29</v>
      </c>
      <c r="D48" s="4">
        <f t="shared" ref="D48:Q48" si="0">D20+D25+D30+D35</f>
        <v>0</v>
      </c>
      <c r="E48" s="4">
        <f t="shared" si="0"/>
        <v>0</v>
      </c>
      <c r="F48" s="4">
        <f t="shared" si="0"/>
        <v>0</v>
      </c>
      <c r="G48" s="4">
        <f t="shared" si="0"/>
        <v>0</v>
      </c>
      <c r="H48" s="4">
        <f t="shared" si="0"/>
        <v>0</v>
      </c>
      <c r="I48" s="4">
        <f t="shared" si="0"/>
        <v>0</v>
      </c>
      <c r="J48" s="4">
        <f t="shared" si="0"/>
        <v>0</v>
      </c>
      <c r="K48" s="4">
        <f t="shared" si="0"/>
        <v>0</v>
      </c>
      <c r="L48" s="4">
        <f t="shared" si="0"/>
        <v>0</v>
      </c>
      <c r="M48" s="4">
        <f t="shared" si="0"/>
        <v>0</v>
      </c>
      <c r="N48" s="4">
        <f t="shared" si="0"/>
        <v>0</v>
      </c>
      <c r="O48" s="4">
        <f t="shared" si="0"/>
        <v>0</v>
      </c>
      <c r="P48" s="4">
        <f t="shared" si="0"/>
        <v>0</v>
      </c>
      <c r="Q48" s="4">
        <f t="shared" si="0"/>
        <v>0</v>
      </c>
    </row>
    <row r="49" spans="1:17" s="4" customFormat="1" ht="20.100000000000001" customHeight="1" x14ac:dyDescent="0.2">
      <c r="A49" s="19"/>
      <c r="B49" s="36"/>
      <c r="C49" s="4" t="s">
        <v>130</v>
      </c>
      <c r="D49" s="4">
        <f t="shared" ref="D49:Q49" si="1">D22+D27+D32+D37+D41</f>
        <v>0</v>
      </c>
      <c r="E49" s="4">
        <f t="shared" si="1"/>
        <v>0</v>
      </c>
      <c r="F49" s="4">
        <f t="shared" si="1"/>
        <v>0</v>
      </c>
      <c r="G49" s="4">
        <f t="shared" si="1"/>
        <v>0</v>
      </c>
      <c r="H49" s="4">
        <f t="shared" si="1"/>
        <v>0</v>
      </c>
      <c r="I49" s="4">
        <f t="shared" si="1"/>
        <v>0</v>
      </c>
      <c r="J49" s="4">
        <f t="shared" si="1"/>
        <v>0</v>
      </c>
      <c r="K49" s="4">
        <f t="shared" si="1"/>
        <v>0</v>
      </c>
      <c r="L49" s="4">
        <f t="shared" si="1"/>
        <v>0</v>
      </c>
      <c r="M49" s="4">
        <f t="shared" si="1"/>
        <v>0</v>
      </c>
      <c r="N49" s="4">
        <f t="shared" si="1"/>
        <v>0</v>
      </c>
      <c r="O49" s="4">
        <f t="shared" si="1"/>
        <v>0</v>
      </c>
      <c r="P49" s="4">
        <f t="shared" si="1"/>
        <v>0</v>
      </c>
      <c r="Q49" s="4">
        <f t="shared" si="1"/>
        <v>0</v>
      </c>
    </row>
    <row r="50" spans="1:17" s="4" customFormat="1" ht="20.100000000000001" customHeight="1" x14ac:dyDescent="0.2">
      <c r="A50" s="19"/>
      <c r="B50" s="37"/>
      <c r="C50" s="4" t="s">
        <v>131</v>
      </c>
      <c r="D50" s="4">
        <f>D48*(1+D49*0.02)</f>
        <v>0</v>
      </c>
      <c r="E50" s="4">
        <f>E48*(1+E49*0.02)</f>
        <v>0</v>
      </c>
      <c r="F50" s="4">
        <f t="shared" ref="F50:Q50" si="2">F48*(1+F49*0.02)</f>
        <v>0</v>
      </c>
      <c r="G50" s="4">
        <f t="shared" si="2"/>
        <v>0</v>
      </c>
      <c r="H50" s="4">
        <f t="shared" si="2"/>
        <v>0</v>
      </c>
      <c r="I50" s="4">
        <f t="shared" si="2"/>
        <v>0</v>
      </c>
      <c r="J50" s="4">
        <f t="shared" si="2"/>
        <v>0</v>
      </c>
      <c r="K50" s="4">
        <f t="shared" si="2"/>
        <v>0</v>
      </c>
      <c r="L50" s="4">
        <f t="shared" si="2"/>
        <v>0</v>
      </c>
      <c r="M50" s="4">
        <f t="shared" si="2"/>
        <v>0</v>
      </c>
      <c r="N50" s="4">
        <f t="shared" si="2"/>
        <v>0</v>
      </c>
      <c r="O50" s="4">
        <f t="shared" si="2"/>
        <v>0</v>
      </c>
      <c r="P50" s="4">
        <f t="shared" si="2"/>
        <v>0</v>
      </c>
      <c r="Q50" s="4">
        <f t="shared" si="2"/>
        <v>0</v>
      </c>
    </row>
    <row r="51" spans="1:17" s="7" customFormat="1" ht="20.100000000000001" customHeight="1" x14ac:dyDescent="0.2">
      <c r="A51" s="2"/>
      <c r="B51" s="8"/>
      <c r="C51" s="8"/>
    </row>
    <row r="52" spans="1:17" s="5" customFormat="1" ht="20.100000000000001" customHeight="1" x14ac:dyDescent="0.2">
      <c r="A52" s="33" t="s">
        <v>137</v>
      </c>
      <c r="B52" s="33" t="s">
        <v>20</v>
      </c>
      <c r="C52" s="5" t="s">
        <v>21</v>
      </c>
    </row>
    <row r="53" spans="1:17" s="5" customFormat="1" ht="20.100000000000001" customHeight="1" x14ac:dyDescent="0.2">
      <c r="A53" s="20"/>
      <c r="B53" s="20"/>
      <c r="C53" s="5" t="s">
        <v>7</v>
      </c>
    </row>
    <row r="54" spans="1:17" s="5" customFormat="1" ht="20.100000000000001" customHeight="1" x14ac:dyDescent="0.2">
      <c r="A54" s="20"/>
      <c r="B54" s="20"/>
      <c r="C54" s="5" t="s">
        <v>22</v>
      </c>
    </row>
    <row r="55" spans="1:17" s="5" customFormat="1" ht="20.100000000000001" customHeight="1" x14ac:dyDescent="0.2">
      <c r="A55" s="20"/>
      <c r="B55" s="21"/>
      <c r="C55" s="5" t="s">
        <v>23</v>
      </c>
    </row>
    <row r="56" spans="1:17" s="5" customFormat="1" ht="20.100000000000001" customHeight="1" x14ac:dyDescent="0.2">
      <c r="A56" s="20"/>
      <c r="B56" s="33" t="s">
        <v>30</v>
      </c>
      <c r="C56" s="5">
        <v>1</v>
      </c>
    </row>
    <row r="57" spans="1:17" s="5" customFormat="1" ht="20.100000000000001" customHeight="1" x14ac:dyDescent="0.2">
      <c r="A57" s="20"/>
      <c r="B57" s="20"/>
      <c r="C57" s="5">
        <v>2</v>
      </c>
    </row>
    <row r="58" spans="1:17" s="5" customFormat="1" ht="20.100000000000001" customHeight="1" x14ac:dyDescent="0.2">
      <c r="A58" s="20"/>
      <c r="B58" s="21"/>
      <c r="C58" s="5">
        <v>3</v>
      </c>
    </row>
    <row r="59" spans="1:17" s="2" customFormat="1" ht="20.100000000000001" customHeight="1" x14ac:dyDescent="0.2">
      <c r="A59" s="20"/>
      <c r="B59" s="9"/>
      <c r="C59" s="9"/>
      <c r="D59" s="9"/>
      <c r="E59" s="9"/>
    </row>
    <row r="60" spans="1:17" s="5" customFormat="1" ht="20.100000000000001" customHeight="1" x14ac:dyDescent="0.2">
      <c r="A60" s="20"/>
      <c r="B60" s="33" t="s">
        <v>25</v>
      </c>
      <c r="C60" s="5" t="s">
        <v>2</v>
      </c>
    </row>
    <row r="61" spans="1:17" s="5" customFormat="1" ht="20.100000000000001" customHeight="1" x14ac:dyDescent="0.2">
      <c r="A61" s="20"/>
      <c r="B61" s="20"/>
      <c r="C61" s="5" t="s">
        <v>23</v>
      </c>
    </row>
    <row r="62" spans="1:17" s="5" customFormat="1" ht="20.100000000000001" customHeight="1" x14ac:dyDescent="0.2">
      <c r="A62" s="21"/>
      <c r="B62" s="21"/>
      <c r="C62" s="5" t="s">
        <v>6</v>
      </c>
    </row>
    <row r="63" spans="1:17" s="2" customFormat="1" ht="20.100000000000001" customHeight="1" x14ac:dyDescent="0.2"/>
    <row r="64" spans="1:17" s="6" customFormat="1" ht="20.100000000000001" customHeight="1" x14ac:dyDescent="0.2">
      <c r="A64" s="28" t="s">
        <v>26</v>
      </c>
      <c r="B64" s="6" t="s">
        <v>10</v>
      </c>
      <c r="C64" s="6" t="s">
        <v>11</v>
      </c>
    </row>
    <row r="65" spans="1:3" s="4" customFormat="1" ht="20.100000000000001" customHeight="1" x14ac:dyDescent="0.2">
      <c r="A65" s="29"/>
      <c r="B65" s="4" t="s">
        <v>133</v>
      </c>
      <c r="C65" s="4" t="s">
        <v>136</v>
      </c>
    </row>
    <row r="66" spans="1:3" s="4" customFormat="1" ht="20.100000000000001" customHeight="1" x14ac:dyDescent="0.2">
      <c r="A66" s="29"/>
      <c r="B66" s="4" t="s">
        <v>134</v>
      </c>
      <c r="C66" s="4" t="s">
        <v>136</v>
      </c>
    </row>
    <row r="67" spans="1:3" s="5" customFormat="1" ht="20.100000000000001" customHeight="1" x14ac:dyDescent="0.2">
      <c r="A67" s="30"/>
      <c r="B67" s="5" t="s">
        <v>135</v>
      </c>
      <c r="C67" s="5" t="s">
        <v>136</v>
      </c>
    </row>
  </sheetData>
  <mergeCells count="17">
    <mergeCell ref="B35:B38"/>
    <mergeCell ref="B40:B42"/>
    <mergeCell ref="B48:B50"/>
    <mergeCell ref="A64:A67"/>
    <mergeCell ref="A7:A18"/>
    <mergeCell ref="B56:B58"/>
    <mergeCell ref="B7:B10"/>
    <mergeCell ref="B11:B13"/>
    <mergeCell ref="B15:B18"/>
    <mergeCell ref="B20:B23"/>
    <mergeCell ref="B25:B28"/>
    <mergeCell ref="A20:A50"/>
    <mergeCell ref="B44:B46"/>
    <mergeCell ref="A52:A62"/>
    <mergeCell ref="B52:B55"/>
    <mergeCell ref="B60:B62"/>
    <mergeCell ref="B30:B33"/>
  </mergeCells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6B60-4F3A-4D99-AC29-6361CD3DE12A}">
  <dimension ref="A1:Q67"/>
  <sheetViews>
    <sheetView topLeftCell="A25" workbookViewId="0">
      <selection activeCell="D48" sqref="D48:Q50"/>
    </sheetView>
  </sheetViews>
  <sheetFormatPr defaultColWidth="16.625" defaultRowHeight="20.100000000000001" customHeight="1" x14ac:dyDescent="0.2"/>
  <cols>
    <col min="1" max="3" width="16.625" style="2"/>
  </cols>
  <sheetData>
    <row r="1" spans="1:10" ht="20.100000000000001" customHeight="1" x14ac:dyDescent="0.2">
      <c r="D1" s="2"/>
      <c r="E1" s="2"/>
    </row>
    <row r="2" spans="1:10" ht="20.100000000000001" customHeight="1" x14ac:dyDescent="0.2">
      <c r="D2" s="2"/>
      <c r="E2" s="2"/>
    </row>
    <row r="3" spans="1:10" ht="20.100000000000001" customHeight="1" x14ac:dyDescent="0.2">
      <c r="D3" s="2" t="s">
        <v>0</v>
      </c>
      <c r="E3" s="2"/>
    </row>
    <row r="4" spans="1:10" s="11" customFormat="1" ht="20.100000000000001" customHeight="1" x14ac:dyDescent="0.2">
      <c r="A4" s="1"/>
      <c r="B4" s="1"/>
      <c r="C4" s="1"/>
      <c r="D4" s="1" t="s">
        <v>118</v>
      </c>
      <c r="E4" s="1" t="s">
        <v>119</v>
      </c>
      <c r="F4" s="1" t="s">
        <v>120</v>
      </c>
      <c r="G4" s="1" t="s">
        <v>121</v>
      </c>
      <c r="H4" s="1" t="s">
        <v>122</v>
      </c>
      <c r="I4" s="1" t="s">
        <v>123</v>
      </c>
      <c r="J4" s="1" t="s">
        <v>124</v>
      </c>
    </row>
    <row r="5" spans="1:10" s="11" customFormat="1" ht="20.100000000000001" customHeight="1" x14ac:dyDescent="0.2">
      <c r="A5" s="1"/>
      <c r="B5" s="1"/>
      <c r="C5" s="1" t="s">
        <v>125</v>
      </c>
      <c r="D5" s="1">
        <v>6</v>
      </c>
      <c r="E5" s="1">
        <v>6</v>
      </c>
      <c r="F5" s="1">
        <v>6</v>
      </c>
      <c r="G5" s="1">
        <v>6</v>
      </c>
      <c r="H5" s="1">
        <v>6</v>
      </c>
      <c r="I5" s="1">
        <v>7</v>
      </c>
      <c r="J5" s="1">
        <v>7</v>
      </c>
    </row>
    <row r="6" spans="1:10" s="11" customFormat="1" ht="20.100000000000001" customHeight="1" x14ac:dyDescent="0.2">
      <c r="A6" s="1"/>
      <c r="B6" s="1"/>
      <c r="C6" s="1" t="s">
        <v>126</v>
      </c>
      <c r="D6" s="1">
        <v>1</v>
      </c>
      <c r="E6" s="1">
        <v>1</v>
      </c>
      <c r="F6" s="1">
        <v>2</v>
      </c>
      <c r="G6" s="1">
        <v>2</v>
      </c>
      <c r="H6" s="1">
        <v>3</v>
      </c>
      <c r="I6" s="1">
        <v>1</v>
      </c>
      <c r="J6" s="1">
        <v>2</v>
      </c>
    </row>
    <row r="7" spans="1:10" s="3" customFormat="1" ht="20.100000000000001" customHeight="1" x14ac:dyDescent="0.2">
      <c r="A7" s="18" t="s">
        <v>138</v>
      </c>
      <c r="B7" s="16" t="s">
        <v>24</v>
      </c>
      <c r="C7" s="3" t="s">
        <v>6</v>
      </c>
      <c r="D7" s="3">
        <v>17</v>
      </c>
    </row>
    <row r="8" spans="1:10" s="3" customFormat="1" ht="20.100000000000001" customHeight="1" x14ac:dyDescent="0.2">
      <c r="A8" s="18"/>
      <c r="B8" s="16"/>
      <c r="C8" s="3" t="s">
        <v>7</v>
      </c>
      <c r="D8" s="3">
        <v>200</v>
      </c>
    </row>
    <row r="9" spans="1:10" s="3" customFormat="1" ht="20.100000000000001" customHeight="1" x14ac:dyDescent="0.2">
      <c r="A9" s="18"/>
      <c r="B9" s="16"/>
      <c r="C9" s="3" t="s">
        <v>8</v>
      </c>
      <c r="D9" s="3">
        <v>6</v>
      </c>
    </row>
    <row r="10" spans="1:10" s="3" customFormat="1" ht="20.100000000000001" customHeight="1" x14ac:dyDescent="0.2">
      <c r="A10" s="18"/>
      <c r="B10" s="16"/>
      <c r="C10" s="3" t="s">
        <v>9</v>
      </c>
      <c r="D10" s="3" t="s">
        <v>27</v>
      </c>
    </row>
    <row r="11" spans="1:10" s="3" customFormat="1" ht="20.100000000000001" customHeight="1" x14ac:dyDescent="0.2">
      <c r="A11" s="18"/>
      <c r="B11" s="16" t="s">
        <v>30</v>
      </c>
      <c r="C11" s="3">
        <v>1</v>
      </c>
    </row>
    <row r="12" spans="1:10" s="3" customFormat="1" ht="20.100000000000001" customHeight="1" x14ac:dyDescent="0.2">
      <c r="A12" s="18"/>
      <c r="B12" s="16"/>
      <c r="C12" s="3">
        <v>2</v>
      </c>
    </row>
    <row r="13" spans="1:10" s="3" customFormat="1" ht="20.100000000000001" customHeight="1" x14ac:dyDescent="0.2">
      <c r="A13" s="18"/>
      <c r="B13" s="16"/>
      <c r="C13" s="3">
        <v>3</v>
      </c>
    </row>
    <row r="14" spans="1:10" s="2" customFormat="1" ht="20.100000000000001" customHeight="1" x14ac:dyDescent="0.2">
      <c r="A14" s="18"/>
    </row>
    <row r="15" spans="1:10" s="3" customFormat="1" ht="20.100000000000001" customHeight="1" x14ac:dyDescent="0.2">
      <c r="A15" s="18"/>
      <c r="B15" s="22" t="s">
        <v>1</v>
      </c>
      <c r="C15" s="3" t="s">
        <v>2</v>
      </c>
      <c r="D15" s="3">
        <v>0</v>
      </c>
    </row>
    <row r="16" spans="1:10" s="3" customFormat="1" ht="20.100000000000001" customHeight="1" x14ac:dyDescent="0.2">
      <c r="A16" s="18"/>
      <c r="B16" s="23"/>
      <c r="C16" s="3" t="s">
        <v>3</v>
      </c>
      <c r="D16" s="3">
        <v>0.3</v>
      </c>
    </row>
    <row r="17" spans="1:5" s="3" customFormat="1" ht="20.100000000000001" customHeight="1" x14ac:dyDescent="0.2">
      <c r="A17" s="18"/>
      <c r="B17" s="23"/>
      <c r="C17" s="3" t="s">
        <v>4</v>
      </c>
      <c r="D17" s="3">
        <v>0.05</v>
      </c>
    </row>
    <row r="18" spans="1:5" s="3" customFormat="1" ht="20.100000000000001" customHeight="1" x14ac:dyDescent="0.2">
      <c r="A18" s="18"/>
      <c r="B18" s="24"/>
      <c r="C18" s="3" t="s">
        <v>5</v>
      </c>
      <c r="D18" s="3">
        <v>0</v>
      </c>
    </row>
    <row r="19" spans="1:5" s="2" customFormat="1" ht="20.100000000000001" customHeight="1" x14ac:dyDescent="0.2">
      <c r="B19" s="10"/>
      <c r="C19" s="10"/>
      <c r="D19" s="10"/>
      <c r="E19" s="10"/>
    </row>
    <row r="20" spans="1:5" s="4" customFormat="1" ht="20.100000000000001" customHeight="1" x14ac:dyDescent="0.2">
      <c r="A20" s="19" t="s">
        <v>132</v>
      </c>
      <c r="B20" s="34" t="s">
        <v>12</v>
      </c>
      <c r="C20" s="4" t="s">
        <v>13</v>
      </c>
    </row>
    <row r="21" spans="1:5" s="4" customFormat="1" ht="20.100000000000001" customHeight="1" x14ac:dyDescent="0.2">
      <c r="A21" s="19"/>
      <c r="B21" s="34"/>
      <c r="C21" s="4" t="s">
        <v>7</v>
      </c>
    </row>
    <row r="22" spans="1:5" s="4" customFormat="1" ht="20.100000000000001" customHeight="1" x14ac:dyDescent="0.2">
      <c r="A22" s="19"/>
      <c r="B22" s="34"/>
      <c r="C22" s="4" t="s">
        <v>14</v>
      </c>
    </row>
    <row r="23" spans="1:5" s="4" customFormat="1" ht="20.100000000000001" customHeight="1" x14ac:dyDescent="0.2">
      <c r="A23" s="19"/>
      <c r="B23" s="34"/>
      <c r="C23" s="4" t="s">
        <v>15</v>
      </c>
    </row>
    <row r="24" spans="1:5" s="2" customFormat="1" ht="20.100000000000001" customHeight="1" x14ac:dyDescent="0.2">
      <c r="A24" s="19"/>
      <c r="B24" s="12"/>
      <c r="C24" s="10"/>
      <c r="D24" s="10"/>
      <c r="E24" s="10"/>
    </row>
    <row r="25" spans="1:5" s="4" customFormat="1" ht="20.100000000000001" customHeight="1" x14ac:dyDescent="0.2">
      <c r="A25" s="19"/>
      <c r="B25" s="34" t="s">
        <v>16</v>
      </c>
      <c r="C25" s="4" t="s">
        <v>13</v>
      </c>
    </row>
    <row r="26" spans="1:5" s="4" customFormat="1" ht="20.100000000000001" customHeight="1" x14ac:dyDescent="0.2">
      <c r="A26" s="19"/>
      <c r="B26" s="34"/>
      <c r="C26" s="4" t="s">
        <v>7</v>
      </c>
    </row>
    <row r="27" spans="1:5" s="4" customFormat="1" ht="20.100000000000001" customHeight="1" x14ac:dyDescent="0.2">
      <c r="A27" s="19"/>
      <c r="B27" s="34"/>
      <c r="C27" s="4" t="s">
        <v>14</v>
      </c>
    </row>
    <row r="28" spans="1:5" s="4" customFormat="1" ht="20.100000000000001" customHeight="1" x14ac:dyDescent="0.2">
      <c r="A28" s="19"/>
      <c r="B28" s="34"/>
      <c r="C28" s="4" t="s">
        <v>15</v>
      </c>
    </row>
    <row r="29" spans="1:5" s="2" customFormat="1" ht="20.100000000000001" customHeight="1" x14ac:dyDescent="0.2">
      <c r="A29" s="19"/>
      <c r="B29" s="13"/>
      <c r="C29" s="9"/>
      <c r="D29" s="9"/>
      <c r="E29" s="9"/>
    </row>
    <row r="30" spans="1:5" s="4" customFormat="1" ht="20.100000000000001" customHeight="1" x14ac:dyDescent="0.2">
      <c r="A30" s="19"/>
      <c r="B30" s="35" t="s">
        <v>17</v>
      </c>
      <c r="C30" s="4" t="s">
        <v>13</v>
      </c>
    </row>
    <row r="31" spans="1:5" s="4" customFormat="1" ht="20.100000000000001" customHeight="1" x14ac:dyDescent="0.2">
      <c r="A31" s="19"/>
      <c r="B31" s="36"/>
      <c r="C31" s="4" t="s">
        <v>7</v>
      </c>
    </row>
    <row r="32" spans="1:5" s="4" customFormat="1" ht="20.100000000000001" customHeight="1" x14ac:dyDescent="0.2">
      <c r="A32" s="19"/>
      <c r="B32" s="36"/>
      <c r="C32" s="4" t="s">
        <v>14</v>
      </c>
    </row>
    <row r="33" spans="1:17" s="4" customFormat="1" ht="20.100000000000001" customHeight="1" x14ac:dyDescent="0.2">
      <c r="A33" s="19"/>
      <c r="B33" s="37"/>
      <c r="C33" s="4" t="s">
        <v>15</v>
      </c>
    </row>
    <row r="34" spans="1:17" s="2" customFormat="1" ht="20.100000000000001" customHeight="1" x14ac:dyDescent="0.2">
      <c r="A34" s="19"/>
      <c r="B34" s="14"/>
      <c r="C34" s="1"/>
      <c r="D34" s="1"/>
      <c r="E34" s="1"/>
    </row>
    <row r="35" spans="1:17" s="4" customFormat="1" ht="20.100000000000001" customHeight="1" x14ac:dyDescent="0.2">
      <c r="A35" s="19"/>
      <c r="B35" s="35" t="s">
        <v>18</v>
      </c>
      <c r="C35" s="4" t="s">
        <v>13</v>
      </c>
    </row>
    <row r="36" spans="1:17" s="4" customFormat="1" ht="20.100000000000001" customHeight="1" x14ac:dyDescent="0.2">
      <c r="A36" s="19"/>
      <c r="B36" s="36"/>
      <c r="C36" s="4" t="s">
        <v>7</v>
      </c>
    </row>
    <row r="37" spans="1:17" s="4" customFormat="1" ht="20.100000000000001" customHeight="1" x14ac:dyDescent="0.2">
      <c r="A37" s="19"/>
      <c r="B37" s="36"/>
      <c r="C37" s="4" t="s">
        <v>14</v>
      </c>
    </row>
    <row r="38" spans="1:17" s="4" customFormat="1" ht="20.100000000000001" customHeight="1" x14ac:dyDescent="0.2">
      <c r="A38" s="19"/>
      <c r="B38" s="37"/>
      <c r="C38" s="4" t="s">
        <v>15</v>
      </c>
    </row>
    <row r="39" spans="1:17" s="2" customFormat="1" ht="20.100000000000001" customHeight="1" x14ac:dyDescent="0.2">
      <c r="A39" s="19"/>
      <c r="B39" s="14"/>
      <c r="C39" s="1"/>
      <c r="D39" s="1"/>
      <c r="E39" s="1"/>
    </row>
    <row r="40" spans="1:17" s="4" customFormat="1" ht="20.100000000000001" customHeight="1" x14ac:dyDescent="0.2">
      <c r="A40" s="19"/>
      <c r="B40" s="35" t="s">
        <v>19</v>
      </c>
      <c r="C40" s="4" t="s">
        <v>7</v>
      </c>
    </row>
    <row r="41" spans="1:17" s="4" customFormat="1" ht="20.100000000000001" customHeight="1" x14ac:dyDescent="0.2">
      <c r="A41" s="19"/>
      <c r="B41" s="36"/>
      <c r="C41" s="4" t="s">
        <v>14</v>
      </c>
    </row>
    <row r="42" spans="1:17" s="4" customFormat="1" ht="20.100000000000001" customHeight="1" x14ac:dyDescent="0.2">
      <c r="A42" s="19"/>
      <c r="B42" s="37"/>
      <c r="C42" s="4" t="s">
        <v>15</v>
      </c>
    </row>
    <row r="43" spans="1:17" s="2" customFormat="1" ht="20.100000000000001" customHeight="1" x14ac:dyDescent="0.2">
      <c r="A43" s="19"/>
      <c r="D43" s="7"/>
      <c r="E43" s="7"/>
    </row>
    <row r="44" spans="1:17" s="4" customFormat="1" ht="20.100000000000001" customHeight="1" x14ac:dyDescent="0.2">
      <c r="A44" s="19"/>
      <c r="B44" s="35" t="s">
        <v>30</v>
      </c>
      <c r="C44" s="4">
        <v>1</v>
      </c>
    </row>
    <row r="45" spans="1:17" s="4" customFormat="1" ht="20.100000000000001" customHeight="1" x14ac:dyDescent="0.2">
      <c r="A45" s="19"/>
      <c r="B45" s="36"/>
      <c r="C45" s="4">
        <v>2</v>
      </c>
    </row>
    <row r="46" spans="1:17" s="4" customFormat="1" ht="20.100000000000001" customHeight="1" x14ac:dyDescent="0.2">
      <c r="A46" s="19"/>
      <c r="B46" s="37"/>
      <c r="C46" s="4">
        <v>3</v>
      </c>
    </row>
    <row r="47" spans="1:17" s="2" customFormat="1" ht="20.100000000000001" customHeight="1" x14ac:dyDescent="0.2">
      <c r="A47" s="19"/>
      <c r="B47" s="15"/>
      <c r="C47" s="7"/>
      <c r="D47" s="8"/>
      <c r="E47" s="8"/>
    </row>
    <row r="48" spans="1:17" s="4" customFormat="1" ht="20.100000000000001" customHeight="1" x14ac:dyDescent="0.2">
      <c r="A48" s="19"/>
      <c r="B48" s="35" t="s">
        <v>28</v>
      </c>
      <c r="C48" s="4" t="s">
        <v>29</v>
      </c>
      <c r="D48" s="4">
        <f t="shared" ref="D48:Q48" si="0">D20+D25+D30+D35</f>
        <v>0</v>
      </c>
      <c r="E48" s="4">
        <f t="shared" si="0"/>
        <v>0</v>
      </c>
      <c r="F48" s="4">
        <f t="shared" si="0"/>
        <v>0</v>
      </c>
      <c r="G48" s="4">
        <f t="shared" si="0"/>
        <v>0</v>
      </c>
      <c r="H48" s="4">
        <f t="shared" si="0"/>
        <v>0</v>
      </c>
      <c r="I48" s="4">
        <f t="shared" si="0"/>
        <v>0</v>
      </c>
      <c r="J48" s="4">
        <f t="shared" si="0"/>
        <v>0</v>
      </c>
      <c r="K48" s="4">
        <f t="shared" si="0"/>
        <v>0</v>
      </c>
      <c r="L48" s="4">
        <f t="shared" si="0"/>
        <v>0</v>
      </c>
      <c r="M48" s="4">
        <f t="shared" si="0"/>
        <v>0</v>
      </c>
      <c r="N48" s="4">
        <f t="shared" si="0"/>
        <v>0</v>
      </c>
      <c r="O48" s="4">
        <f t="shared" si="0"/>
        <v>0</v>
      </c>
      <c r="P48" s="4">
        <f t="shared" si="0"/>
        <v>0</v>
      </c>
      <c r="Q48" s="4">
        <f t="shared" si="0"/>
        <v>0</v>
      </c>
    </row>
    <row r="49" spans="1:17" s="4" customFormat="1" ht="20.100000000000001" customHeight="1" x14ac:dyDescent="0.2">
      <c r="A49" s="19"/>
      <c r="B49" s="36"/>
      <c r="C49" s="4" t="s">
        <v>130</v>
      </c>
      <c r="D49" s="4">
        <f t="shared" ref="D49:Q49" si="1">D22+D27+D32+D37+D41</f>
        <v>0</v>
      </c>
      <c r="E49" s="4">
        <f t="shared" si="1"/>
        <v>0</v>
      </c>
      <c r="F49" s="4">
        <f t="shared" si="1"/>
        <v>0</v>
      </c>
      <c r="G49" s="4">
        <f t="shared" si="1"/>
        <v>0</v>
      </c>
      <c r="H49" s="4">
        <f t="shared" si="1"/>
        <v>0</v>
      </c>
      <c r="I49" s="4">
        <f t="shared" si="1"/>
        <v>0</v>
      </c>
      <c r="J49" s="4">
        <f t="shared" si="1"/>
        <v>0</v>
      </c>
      <c r="K49" s="4">
        <f t="shared" si="1"/>
        <v>0</v>
      </c>
      <c r="L49" s="4">
        <f t="shared" si="1"/>
        <v>0</v>
      </c>
      <c r="M49" s="4">
        <f t="shared" si="1"/>
        <v>0</v>
      </c>
      <c r="N49" s="4">
        <f t="shared" si="1"/>
        <v>0</v>
      </c>
      <c r="O49" s="4">
        <f t="shared" si="1"/>
        <v>0</v>
      </c>
      <c r="P49" s="4">
        <f t="shared" si="1"/>
        <v>0</v>
      </c>
      <c r="Q49" s="4">
        <f t="shared" si="1"/>
        <v>0</v>
      </c>
    </row>
    <row r="50" spans="1:17" s="4" customFormat="1" ht="20.100000000000001" customHeight="1" x14ac:dyDescent="0.2">
      <c r="A50" s="19"/>
      <c r="B50" s="37"/>
      <c r="C50" s="4" t="s">
        <v>131</v>
      </c>
      <c r="D50" s="4">
        <f>D48*(1+D49*0.02)</f>
        <v>0</v>
      </c>
      <c r="E50" s="4">
        <f>E48*(1+E49*0.02)</f>
        <v>0</v>
      </c>
      <c r="F50" s="4">
        <f t="shared" ref="F50:Q50" si="2">F48*(1+F49*0.02)</f>
        <v>0</v>
      </c>
      <c r="G50" s="4">
        <f t="shared" si="2"/>
        <v>0</v>
      </c>
      <c r="H50" s="4">
        <f t="shared" si="2"/>
        <v>0</v>
      </c>
      <c r="I50" s="4">
        <f t="shared" si="2"/>
        <v>0</v>
      </c>
      <c r="J50" s="4">
        <f t="shared" si="2"/>
        <v>0</v>
      </c>
      <c r="K50" s="4">
        <f t="shared" si="2"/>
        <v>0</v>
      </c>
      <c r="L50" s="4">
        <f t="shared" si="2"/>
        <v>0</v>
      </c>
      <c r="M50" s="4">
        <f t="shared" si="2"/>
        <v>0</v>
      </c>
      <c r="N50" s="4">
        <f t="shared" si="2"/>
        <v>0</v>
      </c>
      <c r="O50" s="4">
        <f t="shared" si="2"/>
        <v>0</v>
      </c>
      <c r="P50" s="4">
        <f t="shared" si="2"/>
        <v>0</v>
      </c>
      <c r="Q50" s="4">
        <f t="shared" si="2"/>
        <v>0</v>
      </c>
    </row>
    <row r="51" spans="1:17" s="7" customFormat="1" ht="20.100000000000001" customHeight="1" x14ac:dyDescent="0.2">
      <c r="A51" s="2"/>
      <c r="B51" s="8"/>
      <c r="C51" s="8"/>
    </row>
    <row r="52" spans="1:17" s="5" customFormat="1" ht="20.100000000000001" customHeight="1" x14ac:dyDescent="0.2">
      <c r="A52" s="33" t="s">
        <v>137</v>
      </c>
      <c r="B52" s="33" t="s">
        <v>20</v>
      </c>
      <c r="C52" s="5" t="s">
        <v>21</v>
      </c>
    </row>
    <row r="53" spans="1:17" s="5" customFormat="1" ht="20.100000000000001" customHeight="1" x14ac:dyDescent="0.2">
      <c r="A53" s="20"/>
      <c r="B53" s="20"/>
      <c r="C53" s="5" t="s">
        <v>7</v>
      </c>
    </row>
    <row r="54" spans="1:17" s="5" customFormat="1" ht="20.100000000000001" customHeight="1" x14ac:dyDescent="0.2">
      <c r="A54" s="20"/>
      <c r="B54" s="20"/>
      <c r="C54" s="5" t="s">
        <v>22</v>
      </c>
    </row>
    <row r="55" spans="1:17" s="5" customFormat="1" ht="20.100000000000001" customHeight="1" x14ac:dyDescent="0.2">
      <c r="A55" s="20"/>
      <c r="B55" s="21"/>
      <c r="C55" s="5" t="s">
        <v>23</v>
      </c>
    </row>
    <row r="56" spans="1:17" s="5" customFormat="1" ht="20.100000000000001" customHeight="1" x14ac:dyDescent="0.2">
      <c r="A56" s="20"/>
      <c r="B56" s="33" t="s">
        <v>30</v>
      </c>
      <c r="C56" s="5">
        <v>1</v>
      </c>
    </row>
    <row r="57" spans="1:17" s="5" customFormat="1" ht="20.100000000000001" customHeight="1" x14ac:dyDescent="0.2">
      <c r="A57" s="20"/>
      <c r="B57" s="20"/>
      <c r="C57" s="5">
        <v>2</v>
      </c>
    </row>
    <row r="58" spans="1:17" s="5" customFormat="1" ht="20.100000000000001" customHeight="1" x14ac:dyDescent="0.2">
      <c r="A58" s="20"/>
      <c r="B58" s="21"/>
      <c r="C58" s="5">
        <v>3</v>
      </c>
    </row>
    <row r="59" spans="1:17" s="2" customFormat="1" ht="20.100000000000001" customHeight="1" x14ac:dyDescent="0.2">
      <c r="A59" s="20"/>
      <c r="B59" s="9"/>
      <c r="C59" s="9"/>
      <c r="D59" s="9"/>
      <c r="E59" s="9"/>
    </row>
    <row r="60" spans="1:17" s="5" customFormat="1" ht="20.100000000000001" customHeight="1" x14ac:dyDescent="0.2">
      <c r="A60" s="20"/>
      <c r="B60" s="33" t="s">
        <v>25</v>
      </c>
      <c r="C60" s="5" t="s">
        <v>2</v>
      </c>
    </row>
    <row r="61" spans="1:17" s="5" customFormat="1" ht="20.100000000000001" customHeight="1" x14ac:dyDescent="0.2">
      <c r="A61" s="20"/>
      <c r="B61" s="20"/>
      <c r="C61" s="5" t="s">
        <v>23</v>
      </c>
    </row>
    <row r="62" spans="1:17" s="5" customFormat="1" ht="20.100000000000001" customHeight="1" x14ac:dyDescent="0.2">
      <c r="A62" s="21"/>
      <c r="B62" s="21"/>
      <c r="C62" s="5" t="s">
        <v>6</v>
      </c>
    </row>
    <row r="63" spans="1:17" s="2" customFormat="1" ht="20.100000000000001" customHeight="1" x14ac:dyDescent="0.2"/>
    <row r="64" spans="1:17" s="6" customFormat="1" ht="20.100000000000001" customHeight="1" x14ac:dyDescent="0.2">
      <c r="A64" s="28" t="s">
        <v>26</v>
      </c>
      <c r="B64" s="6" t="s">
        <v>10</v>
      </c>
      <c r="C64" s="6" t="s">
        <v>11</v>
      </c>
    </row>
    <row r="65" spans="1:3" s="4" customFormat="1" ht="20.100000000000001" customHeight="1" x14ac:dyDescent="0.2">
      <c r="A65" s="29"/>
      <c r="B65" s="4" t="s">
        <v>133</v>
      </c>
      <c r="C65" s="4" t="s">
        <v>136</v>
      </c>
    </row>
    <row r="66" spans="1:3" s="4" customFormat="1" ht="20.100000000000001" customHeight="1" x14ac:dyDescent="0.2">
      <c r="A66" s="29"/>
      <c r="B66" s="4" t="s">
        <v>134</v>
      </c>
      <c r="C66" s="4" t="s">
        <v>136</v>
      </c>
    </row>
    <row r="67" spans="1:3" s="5" customFormat="1" ht="20.100000000000001" customHeight="1" x14ac:dyDescent="0.2">
      <c r="A67" s="30"/>
      <c r="B67" s="5" t="s">
        <v>135</v>
      </c>
      <c r="C67" s="5" t="s">
        <v>136</v>
      </c>
    </row>
  </sheetData>
  <mergeCells count="17">
    <mergeCell ref="B35:B38"/>
    <mergeCell ref="B40:B42"/>
    <mergeCell ref="B48:B50"/>
    <mergeCell ref="A64:A67"/>
    <mergeCell ref="A7:A18"/>
    <mergeCell ref="B56:B58"/>
    <mergeCell ref="B7:B10"/>
    <mergeCell ref="B11:B13"/>
    <mergeCell ref="B15:B18"/>
    <mergeCell ref="B20:B23"/>
    <mergeCell ref="B25:B28"/>
    <mergeCell ref="A20:A50"/>
    <mergeCell ref="B44:B46"/>
    <mergeCell ref="A52:A62"/>
    <mergeCell ref="B52:B55"/>
    <mergeCell ref="B60:B62"/>
    <mergeCell ref="B30:B33"/>
  </mergeCells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阶段1</vt:lpstr>
      <vt:lpstr>阶段2</vt:lpstr>
      <vt:lpstr>阶段3</vt:lpstr>
      <vt:lpstr>阶段4</vt:lpstr>
      <vt:lpstr>阶段5</vt:lpstr>
      <vt:lpstr>阶段EX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_ Tonywww</dc:creator>
  <cp:lastModifiedBy>_ Tonywww</cp:lastModifiedBy>
  <dcterms:created xsi:type="dcterms:W3CDTF">2015-06-05T18:19:34Z</dcterms:created>
  <dcterms:modified xsi:type="dcterms:W3CDTF">2025-05-26T07:44:53Z</dcterms:modified>
</cp:coreProperties>
</file>