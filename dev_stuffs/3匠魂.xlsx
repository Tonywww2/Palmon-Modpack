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Tony\Documents\EX\HMCL\.minecraft\versions\Palmon\dev_stuffs\"/>
    </mc:Choice>
  </mc:AlternateContent>
  <xr:revisionPtr revIDLastSave="0" documentId="13_ncr:1_{6A9BC20B-B2EB-4868-9BB6-0EE3697DEB84}" xr6:coauthVersionLast="47" xr6:coauthVersionMax="47" xr10:uidLastSave="{00000000-0000-0000-0000-000000000000}"/>
  <bookViews>
    <workbookView xWindow="8685" yWindow="2400" windowWidth="24015" windowHeight="15435" activeTab="6" xr2:uid="{00000000-000D-0000-FFFF-FFFF00000000}"/>
  </bookViews>
  <sheets>
    <sheet name="阶段1" sheetId="1" r:id="rId1"/>
    <sheet name="阶段2" sheetId="2" r:id="rId2"/>
    <sheet name="阶段3" sheetId="8" r:id="rId3"/>
    <sheet name="阶段4" sheetId="9" r:id="rId4"/>
    <sheet name="阶段5" sheetId="10" r:id="rId5"/>
    <sheet name="阶段EX" sheetId="11" r:id="rId6"/>
    <sheet name="追加" sheetId="12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8" i="8" l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AE33" i="8"/>
  <c r="AD33" i="8"/>
  <c r="AC33" i="8"/>
  <c r="Z33" i="8"/>
  <c r="Y33" i="8"/>
  <c r="X33" i="8"/>
  <c r="W33" i="8"/>
  <c r="V33" i="8"/>
  <c r="U33" i="8"/>
  <c r="T33" i="8"/>
  <c r="S33" i="8"/>
  <c r="Q33" i="8"/>
  <c r="P33" i="8"/>
  <c r="O33" i="8"/>
  <c r="N33" i="8"/>
  <c r="M33" i="8"/>
  <c r="L33" i="8"/>
  <c r="K33" i="8"/>
  <c r="J33" i="8"/>
  <c r="AE28" i="8"/>
  <c r="AE38" i="8" s="1"/>
  <c r="AD28" i="8"/>
  <c r="AD38" i="8" s="1"/>
  <c r="AC28" i="8"/>
  <c r="AC38" i="8" s="1"/>
  <c r="AB28" i="8"/>
  <c r="AB33" i="8" s="1"/>
  <c r="AA28" i="8"/>
  <c r="AA38" i="8" s="1"/>
  <c r="Z28" i="8"/>
  <c r="Y28" i="8"/>
  <c r="X28" i="8"/>
  <c r="W28" i="8"/>
  <c r="V28" i="8"/>
  <c r="U28" i="8"/>
  <c r="T28" i="8"/>
  <c r="S28" i="8"/>
  <c r="R28" i="8"/>
  <c r="R33" i="8" s="1"/>
  <c r="Q28" i="8"/>
  <c r="P28" i="8"/>
  <c r="O28" i="8"/>
  <c r="N28" i="8"/>
  <c r="M28" i="8"/>
  <c r="L28" i="8"/>
  <c r="K28" i="8"/>
  <c r="K23" i="8" s="1"/>
  <c r="J28" i="8"/>
  <c r="J23" i="8" s="1"/>
  <c r="I28" i="8"/>
  <c r="I23" i="8" s="1"/>
  <c r="H28" i="8"/>
  <c r="H23" i="8" s="1"/>
  <c r="G28" i="8"/>
  <c r="G38" i="8" s="1"/>
  <c r="F28" i="8"/>
  <c r="F38" i="8" s="1"/>
  <c r="E28" i="8"/>
  <c r="E23" i="8" s="1"/>
  <c r="AE23" i="8"/>
  <c r="AD23" i="8"/>
  <c r="AC23" i="8"/>
  <c r="AB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D28" i="8"/>
  <c r="D38" i="8" s="1"/>
  <c r="AE51" i="8"/>
  <c r="AE50" i="8"/>
  <c r="AD51" i="8"/>
  <c r="AD50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AC50" i="8"/>
  <c r="AB50" i="8"/>
  <c r="AA50" i="8"/>
  <c r="Z50" i="8"/>
  <c r="Y50" i="8"/>
  <c r="X50" i="8"/>
  <c r="W50" i="8"/>
  <c r="V50" i="8"/>
  <c r="U50" i="8"/>
  <c r="U52" i="8" s="1"/>
  <c r="T50" i="8"/>
  <c r="T52" i="8" s="1"/>
  <c r="S50" i="8"/>
  <c r="S52" i="8" s="1"/>
  <c r="R50" i="8"/>
  <c r="R52" i="8" s="1"/>
  <c r="Q50" i="8"/>
  <c r="Q52" i="8" s="1"/>
  <c r="AB38" i="8" l="1"/>
  <c r="AA23" i="8"/>
  <c r="AA33" i="8"/>
  <c r="I33" i="8"/>
  <c r="I38" i="8"/>
  <c r="H33" i="8"/>
  <c r="H38" i="8"/>
  <c r="G23" i="8"/>
  <c r="G33" i="8"/>
  <c r="F23" i="8"/>
  <c r="F33" i="8"/>
  <c r="E33" i="8"/>
  <c r="E38" i="8"/>
  <c r="D33" i="8"/>
  <c r="D23" i="8"/>
  <c r="AE52" i="8"/>
  <c r="AD52" i="8"/>
  <c r="AC52" i="8"/>
  <c r="V52" i="8"/>
  <c r="Y52" i="8"/>
  <c r="W52" i="8"/>
  <c r="Z52" i="8"/>
  <c r="AA52" i="8"/>
  <c r="X52" i="8"/>
  <c r="AB52" i="8"/>
  <c r="F51" i="9"/>
  <c r="F50" i="9"/>
  <c r="F52" i="9" s="1"/>
  <c r="L42" i="9"/>
  <c r="M38" i="9"/>
  <c r="L38" i="9"/>
  <c r="K38" i="9"/>
  <c r="J38" i="9"/>
  <c r="I38" i="9"/>
  <c r="H38" i="9"/>
  <c r="G38" i="9"/>
  <c r="F38" i="9"/>
  <c r="E38" i="9"/>
  <c r="M33" i="9"/>
  <c r="L33" i="9"/>
  <c r="J33" i="9"/>
  <c r="H33" i="9"/>
  <c r="F33" i="9"/>
  <c r="E33" i="9"/>
  <c r="O28" i="9"/>
  <c r="O42" i="9" s="1"/>
  <c r="N28" i="9"/>
  <c r="N42" i="9" s="1"/>
  <c r="M28" i="9"/>
  <c r="M42" i="9" s="1"/>
  <c r="L28" i="9"/>
  <c r="K28" i="9"/>
  <c r="K33" i="9" s="1"/>
  <c r="J28" i="9"/>
  <c r="J42" i="9" s="1"/>
  <c r="I28" i="9"/>
  <c r="I23" i="9" s="1"/>
  <c r="H28" i="9"/>
  <c r="H42" i="9" s="1"/>
  <c r="G28" i="9"/>
  <c r="G23" i="9" s="1"/>
  <c r="F28" i="9"/>
  <c r="F42" i="9" s="1"/>
  <c r="E28" i="9"/>
  <c r="E42" i="9" s="1"/>
  <c r="M23" i="9"/>
  <c r="L23" i="9"/>
  <c r="K23" i="9"/>
  <c r="J23" i="9"/>
  <c r="H23" i="9"/>
  <c r="F23" i="9"/>
  <c r="E23" i="9"/>
  <c r="D42" i="9"/>
  <c r="D38" i="9"/>
  <c r="D33" i="9"/>
  <c r="D23" i="9"/>
  <c r="D28" i="9"/>
  <c r="N33" i="9" l="1"/>
  <c r="N38" i="9"/>
  <c r="N23" i="9"/>
  <c r="O33" i="9"/>
  <c r="O23" i="9"/>
  <c r="O38" i="9"/>
  <c r="K42" i="9"/>
  <c r="I33" i="9"/>
  <c r="I42" i="9"/>
  <c r="G42" i="9"/>
  <c r="G33" i="9"/>
  <c r="F49" i="11"/>
  <c r="F48" i="11"/>
  <c r="Y51" i="10"/>
  <c r="X51" i="10"/>
  <c r="W51" i="10"/>
  <c r="V51" i="10"/>
  <c r="U51" i="10"/>
  <c r="T51" i="10"/>
  <c r="S51" i="10"/>
  <c r="R51" i="10"/>
  <c r="Q51" i="10"/>
  <c r="Y50" i="10"/>
  <c r="X50" i="10"/>
  <c r="W50" i="10"/>
  <c r="V50" i="10"/>
  <c r="U50" i="10"/>
  <c r="T50" i="10"/>
  <c r="S50" i="10"/>
  <c r="R50" i="10"/>
  <c r="Q50" i="10"/>
  <c r="X42" i="10"/>
  <c r="W42" i="10"/>
  <c r="V42" i="10"/>
  <c r="Y28" i="10"/>
  <c r="Y33" i="10" s="1"/>
  <c r="X28" i="10"/>
  <c r="X33" i="10" s="1"/>
  <c r="W28" i="10"/>
  <c r="W23" i="10" s="1"/>
  <c r="V28" i="10"/>
  <c r="V23" i="10" s="1"/>
  <c r="U28" i="10"/>
  <c r="U23" i="10" s="1"/>
  <c r="T28" i="10"/>
  <c r="T23" i="10" s="1"/>
  <c r="S28" i="10"/>
  <c r="S23" i="10" s="1"/>
  <c r="R28" i="10"/>
  <c r="R23" i="10" s="1"/>
  <c r="Q28" i="10"/>
  <c r="Q23" i="10" s="1"/>
  <c r="P28" i="10"/>
  <c r="P23" i="10" s="1"/>
  <c r="O28" i="10"/>
  <c r="O23" i="10" s="1"/>
  <c r="N28" i="10"/>
  <c r="N23" i="10" s="1"/>
  <c r="M28" i="10"/>
  <c r="M23" i="10" s="1"/>
  <c r="L28" i="10"/>
  <c r="L23" i="10" s="1"/>
  <c r="K28" i="10"/>
  <c r="K23" i="10" s="1"/>
  <c r="J28" i="10"/>
  <c r="J23" i="10" s="1"/>
  <c r="I28" i="10"/>
  <c r="I23" i="10" s="1"/>
  <c r="H28" i="10"/>
  <c r="H23" i="10" s="1"/>
  <c r="G28" i="10"/>
  <c r="G23" i="10" s="1"/>
  <c r="F28" i="10"/>
  <c r="F23" i="10" s="1"/>
  <c r="E28" i="10"/>
  <c r="E23" i="10" s="1"/>
  <c r="D28" i="10"/>
  <c r="D42" i="10" s="1"/>
  <c r="D23" i="10"/>
  <c r="F50" i="11" l="1"/>
  <c r="I33" i="10"/>
  <c r="J33" i="10"/>
  <c r="K33" i="10"/>
  <c r="L33" i="10"/>
  <c r="P33" i="10"/>
  <c r="Q33" i="10"/>
  <c r="Q38" i="10"/>
  <c r="Y23" i="10"/>
  <c r="W52" i="10"/>
  <c r="T38" i="10"/>
  <c r="R33" i="10"/>
  <c r="S33" i="10"/>
  <c r="T33" i="10"/>
  <c r="U38" i="10"/>
  <c r="X23" i="10"/>
  <c r="U33" i="10"/>
  <c r="V33" i="10"/>
  <c r="S38" i="10"/>
  <c r="V38" i="10"/>
  <c r="Q52" i="10"/>
  <c r="E42" i="10"/>
  <c r="G42" i="10"/>
  <c r="J42" i="10"/>
  <c r="D33" i="10"/>
  <c r="K42" i="10"/>
  <c r="H42" i="10"/>
  <c r="L42" i="10"/>
  <c r="I42" i="10"/>
  <c r="D38" i="10"/>
  <c r="H33" i="10"/>
  <c r="Q42" i="10"/>
  <c r="T52" i="10"/>
  <c r="F42" i="10"/>
  <c r="H38" i="10"/>
  <c r="J38" i="10"/>
  <c r="K38" i="10"/>
  <c r="F38" i="10"/>
  <c r="I38" i="10"/>
  <c r="L38" i="10"/>
  <c r="V52" i="10"/>
  <c r="E38" i="10"/>
  <c r="R38" i="10"/>
  <c r="F33" i="10"/>
  <c r="X52" i="10"/>
  <c r="Y52" i="10"/>
  <c r="X38" i="10"/>
  <c r="W38" i="10"/>
  <c r="W33" i="10"/>
  <c r="Y42" i="10"/>
  <c r="Y38" i="10"/>
  <c r="U52" i="10"/>
  <c r="S52" i="10"/>
  <c r="U42" i="10"/>
  <c r="T42" i="10"/>
  <c r="S42" i="10"/>
  <c r="N33" i="10"/>
  <c r="N42" i="10"/>
  <c r="N38" i="10"/>
  <c r="O33" i="10"/>
  <c r="O42" i="10"/>
  <c r="O38" i="10"/>
  <c r="P42" i="10"/>
  <c r="P38" i="10"/>
  <c r="M42" i="10"/>
  <c r="M33" i="10"/>
  <c r="M38" i="10"/>
  <c r="E33" i="10"/>
  <c r="G38" i="10"/>
  <c r="G33" i="10"/>
  <c r="R52" i="10"/>
  <c r="R42" i="10"/>
  <c r="Q49" i="12" l="1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Q48" i="12"/>
  <c r="Q50" i="12" s="1"/>
  <c r="P48" i="12"/>
  <c r="P50" i="12" s="1"/>
  <c r="O48" i="12"/>
  <c r="O50" i="12" s="1"/>
  <c r="N48" i="12"/>
  <c r="N50" i="12" s="1"/>
  <c r="M48" i="12"/>
  <c r="M50" i="12" s="1"/>
  <c r="L48" i="12"/>
  <c r="L50" i="12" s="1"/>
  <c r="K48" i="12"/>
  <c r="K50" i="12" s="1"/>
  <c r="J48" i="12"/>
  <c r="J50" i="12" s="1"/>
  <c r="I48" i="12"/>
  <c r="I50" i="12" s="1"/>
  <c r="H48" i="12"/>
  <c r="H50" i="12" s="1"/>
  <c r="G48" i="12"/>
  <c r="G50" i="12" s="1"/>
  <c r="F48" i="12"/>
  <c r="F50" i="12" s="1"/>
  <c r="E48" i="12"/>
  <c r="E50" i="12" s="1"/>
  <c r="D48" i="12"/>
  <c r="D50" i="12" s="1"/>
  <c r="L42" i="2"/>
  <c r="K42" i="2"/>
  <c r="J42" i="2"/>
  <c r="I42" i="2"/>
  <c r="H42" i="2"/>
  <c r="G42" i="2"/>
  <c r="F42" i="2"/>
  <c r="E42" i="2"/>
  <c r="L38" i="2"/>
  <c r="K38" i="2"/>
  <c r="L33" i="2"/>
  <c r="K33" i="2"/>
  <c r="J33" i="2"/>
  <c r="I33" i="2"/>
  <c r="H33" i="2"/>
  <c r="G33" i="2"/>
  <c r="F33" i="2"/>
  <c r="E33" i="2"/>
  <c r="Q28" i="2"/>
  <c r="Q23" i="2" s="1"/>
  <c r="P28" i="2"/>
  <c r="P23" i="2" s="1"/>
  <c r="O28" i="2"/>
  <c r="O42" i="2" s="1"/>
  <c r="N28" i="2"/>
  <c r="N42" i="2" s="1"/>
  <c r="M28" i="2"/>
  <c r="M42" i="2" s="1"/>
  <c r="L28" i="2"/>
  <c r="K28" i="2"/>
  <c r="J28" i="2"/>
  <c r="J38" i="2" s="1"/>
  <c r="I28" i="2"/>
  <c r="I38" i="2" s="1"/>
  <c r="H28" i="2"/>
  <c r="H38" i="2" s="1"/>
  <c r="G28" i="2"/>
  <c r="G38" i="2" s="1"/>
  <c r="F28" i="2"/>
  <c r="F38" i="2" s="1"/>
  <c r="E28" i="2"/>
  <c r="E38" i="2" s="1"/>
  <c r="L23" i="2"/>
  <c r="K23" i="2"/>
  <c r="J23" i="2"/>
  <c r="I23" i="2"/>
  <c r="H23" i="2"/>
  <c r="G23" i="2"/>
  <c r="F23" i="2"/>
  <c r="E23" i="2"/>
  <c r="D28" i="2"/>
  <c r="D42" i="2" s="1"/>
  <c r="M38" i="1"/>
  <c r="L38" i="1"/>
  <c r="K38" i="1"/>
  <c r="J38" i="1"/>
  <c r="M28" i="1"/>
  <c r="M42" i="1" s="1"/>
  <c r="L28" i="1"/>
  <c r="L23" i="1" s="1"/>
  <c r="K28" i="1"/>
  <c r="K33" i="1" s="1"/>
  <c r="J28" i="1"/>
  <c r="J33" i="1" s="1"/>
  <c r="I28" i="1"/>
  <c r="I38" i="1" s="1"/>
  <c r="H28" i="1"/>
  <c r="H38" i="1" s="1"/>
  <c r="G28" i="1"/>
  <c r="G38" i="1" s="1"/>
  <c r="F28" i="1"/>
  <c r="F33" i="1" s="1"/>
  <c r="E28" i="1"/>
  <c r="E33" i="1" s="1"/>
  <c r="D28" i="1"/>
  <c r="D33" i="1" s="1"/>
  <c r="R49" i="11"/>
  <c r="Q49" i="11"/>
  <c r="P49" i="11"/>
  <c r="O49" i="11"/>
  <c r="N49" i="11"/>
  <c r="M49" i="11"/>
  <c r="L49" i="11"/>
  <c r="K49" i="11"/>
  <c r="J49" i="11"/>
  <c r="I49" i="11"/>
  <c r="H49" i="11"/>
  <c r="G49" i="11"/>
  <c r="E49" i="11"/>
  <c r="D49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E48" i="11"/>
  <c r="D48" i="11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E52" i="10" s="1"/>
  <c r="D50" i="10"/>
  <c r="D52" i="10" s="1"/>
  <c r="O51" i="9"/>
  <c r="N51" i="9"/>
  <c r="M51" i="9"/>
  <c r="L51" i="9"/>
  <c r="K51" i="9"/>
  <c r="J51" i="9"/>
  <c r="I51" i="9"/>
  <c r="H51" i="9"/>
  <c r="G51" i="9"/>
  <c r="E51" i="9"/>
  <c r="D51" i="9"/>
  <c r="O50" i="9"/>
  <c r="N50" i="9"/>
  <c r="M50" i="9"/>
  <c r="L50" i="9"/>
  <c r="K50" i="9"/>
  <c r="J50" i="9"/>
  <c r="I50" i="9"/>
  <c r="H50" i="9"/>
  <c r="G50" i="9"/>
  <c r="G52" i="9" s="1"/>
  <c r="E50" i="9"/>
  <c r="E52" i="9" s="1"/>
  <c r="D50" i="9"/>
  <c r="D52" i="9" s="1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P50" i="8"/>
  <c r="O50" i="8"/>
  <c r="N50" i="8"/>
  <c r="M50" i="8"/>
  <c r="L50" i="8"/>
  <c r="K50" i="8"/>
  <c r="J50" i="8"/>
  <c r="I50" i="8"/>
  <c r="H50" i="8"/>
  <c r="G50" i="8"/>
  <c r="F50" i="8"/>
  <c r="F52" i="8" s="1"/>
  <c r="E50" i="8"/>
  <c r="D50" i="8"/>
  <c r="Q51" i="2"/>
  <c r="P51" i="2"/>
  <c r="O51" i="2"/>
  <c r="N51" i="2"/>
  <c r="Q50" i="2"/>
  <c r="P50" i="2"/>
  <c r="O50" i="2"/>
  <c r="N50" i="2"/>
  <c r="M51" i="2"/>
  <c r="L51" i="2"/>
  <c r="K51" i="2"/>
  <c r="J51" i="2"/>
  <c r="I51" i="2"/>
  <c r="H51" i="2"/>
  <c r="G51" i="2"/>
  <c r="F51" i="2"/>
  <c r="M50" i="2"/>
  <c r="M52" i="2" s="1"/>
  <c r="L50" i="2"/>
  <c r="L52" i="2" s="1"/>
  <c r="K50" i="2"/>
  <c r="J50" i="2"/>
  <c r="I50" i="2"/>
  <c r="H50" i="2"/>
  <c r="G50" i="2"/>
  <c r="F50" i="2"/>
  <c r="D51" i="2"/>
  <c r="D50" i="2"/>
  <c r="K52" i="8" l="1"/>
  <c r="L52" i="8"/>
  <c r="I52" i="8"/>
  <c r="H52" i="8"/>
  <c r="G52" i="8"/>
  <c r="J52" i="8"/>
  <c r="E52" i="8"/>
  <c r="D52" i="8"/>
  <c r="J52" i="9"/>
  <c r="I52" i="9"/>
  <c r="H52" i="9"/>
  <c r="M52" i="8"/>
  <c r="N52" i="8"/>
  <c r="O52" i="8"/>
  <c r="P52" i="8"/>
  <c r="N52" i="9"/>
  <c r="K52" i="9"/>
  <c r="M52" i="9"/>
  <c r="L52" i="9"/>
  <c r="O52" i="9"/>
  <c r="J52" i="10"/>
  <c r="H50" i="11"/>
  <c r="G52" i="10"/>
  <c r="I50" i="11"/>
  <c r="O50" i="11"/>
  <c r="D50" i="11"/>
  <c r="E50" i="11"/>
  <c r="J50" i="11"/>
  <c r="P50" i="11"/>
  <c r="G50" i="11"/>
  <c r="K50" i="11"/>
  <c r="L50" i="11"/>
  <c r="M50" i="11"/>
  <c r="N50" i="11"/>
  <c r="Q50" i="11"/>
  <c r="R50" i="11"/>
  <c r="P52" i="10"/>
  <c r="N52" i="10"/>
  <c r="H52" i="10"/>
  <c r="I52" i="10"/>
  <c r="F52" i="10"/>
  <c r="K52" i="10"/>
  <c r="L52" i="10"/>
  <c r="M52" i="10"/>
  <c r="O52" i="10"/>
  <c r="Q33" i="2"/>
  <c r="D23" i="2"/>
  <c r="D33" i="2"/>
  <c r="M38" i="2"/>
  <c r="D38" i="2"/>
  <c r="N38" i="2"/>
  <c r="O38" i="2"/>
  <c r="P38" i="2"/>
  <c r="Q38" i="2"/>
  <c r="M23" i="2"/>
  <c r="M33" i="2"/>
  <c r="N23" i="2"/>
  <c r="N33" i="2"/>
  <c r="O23" i="2"/>
  <c r="O33" i="2"/>
  <c r="P33" i="2"/>
  <c r="F52" i="2"/>
  <c r="P42" i="2"/>
  <c r="Q42" i="2"/>
  <c r="H52" i="2"/>
  <c r="K52" i="2"/>
  <c r="D42" i="1"/>
  <c r="L33" i="1"/>
  <c r="E42" i="1"/>
  <c r="F42" i="1"/>
  <c r="G42" i="1"/>
  <c r="H42" i="1"/>
  <c r="I42" i="1"/>
  <c r="J42" i="1"/>
  <c r="K42" i="1"/>
  <c r="L42" i="1"/>
  <c r="F23" i="1"/>
  <c r="M23" i="1"/>
  <c r="M33" i="1"/>
  <c r="D38" i="1"/>
  <c r="F38" i="1"/>
  <c r="D23" i="1"/>
  <c r="E23" i="1"/>
  <c r="G23" i="1"/>
  <c r="J23" i="1"/>
  <c r="K23" i="1"/>
  <c r="G33" i="1"/>
  <c r="E38" i="1"/>
  <c r="I33" i="1"/>
  <c r="I23" i="1"/>
  <c r="H23" i="1"/>
  <c r="H33" i="1"/>
  <c r="P52" i="2"/>
  <c r="Q52" i="2"/>
  <c r="J52" i="2"/>
  <c r="O52" i="2"/>
  <c r="D52" i="2"/>
  <c r="G52" i="2"/>
  <c r="N52" i="2"/>
  <c r="I52" i="2"/>
  <c r="M51" i="1" l="1"/>
  <c r="L51" i="1"/>
  <c r="K51" i="1"/>
  <c r="I51" i="1"/>
  <c r="H51" i="1"/>
  <c r="J51" i="1"/>
  <c r="G51" i="1"/>
  <c r="F51" i="1"/>
  <c r="M50" i="1"/>
  <c r="L50" i="1"/>
  <c r="K50" i="1"/>
  <c r="I50" i="1"/>
  <c r="H50" i="1"/>
  <c r="J50" i="1"/>
  <c r="G50" i="1"/>
  <c r="F50" i="1"/>
  <c r="E51" i="2"/>
  <c r="E50" i="2"/>
  <c r="E51" i="1"/>
  <c r="E50" i="1"/>
  <c r="D51" i="1"/>
  <c r="D50" i="1"/>
  <c r="E52" i="2" l="1"/>
  <c r="J52" i="1"/>
  <c r="H52" i="1"/>
  <c r="I52" i="1"/>
  <c r="K52" i="1"/>
  <c r="G52" i="1"/>
  <c r="F52" i="1"/>
  <c r="M52" i="1"/>
  <c r="L52" i="1"/>
  <c r="E52" i="1"/>
  <c r="D52" i="1"/>
</calcChain>
</file>

<file path=xl/sharedStrings.xml><?xml version="1.0" encoding="utf-8"?>
<sst xmlns="http://schemas.openxmlformats.org/spreadsheetml/2006/main" count="880" uniqueCount="274">
  <si>
    <t>材料名</t>
    <phoneticPr fontId="2" type="noConversion"/>
  </si>
  <si>
    <t>手柄</t>
    <phoneticPr fontId="2" type="noConversion"/>
  </si>
  <si>
    <t>耐久度%</t>
    <phoneticPr fontId="3" type="noConversion"/>
  </si>
  <si>
    <t>近战伤害%</t>
    <phoneticPr fontId="3" type="noConversion"/>
  </si>
  <si>
    <t>近战速度%</t>
    <phoneticPr fontId="3" type="noConversion"/>
  </si>
  <si>
    <t>挖掘速度%</t>
    <phoneticPr fontId="3" type="noConversion"/>
  </si>
  <si>
    <t>近战伤害+</t>
    <phoneticPr fontId="3" type="noConversion"/>
  </si>
  <si>
    <t>耐久+</t>
    <phoneticPr fontId="3" type="noConversion"/>
  </si>
  <si>
    <t>挖掘速度+</t>
    <phoneticPr fontId="3" type="noConversion"/>
  </si>
  <si>
    <t>挖掘等级</t>
    <phoneticPr fontId="3" type="noConversion"/>
  </si>
  <si>
    <t>绑定节</t>
    <phoneticPr fontId="2" type="noConversion"/>
  </si>
  <si>
    <t>是否启用</t>
    <phoneticPr fontId="2" type="noConversion"/>
  </si>
  <si>
    <t>头盔</t>
    <phoneticPr fontId="2" type="noConversion"/>
  </si>
  <si>
    <t>护甲值+</t>
    <phoneticPr fontId="3" type="noConversion"/>
  </si>
  <si>
    <t>韧性+</t>
    <phoneticPr fontId="3" type="noConversion"/>
  </si>
  <si>
    <t>击退抗性+</t>
    <phoneticPr fontId="3" type="noConversion"/>
  </si>
  <si>
    <t>胸甲</t>
    <phoneticPr fontId="2" type="noConversion"/>
  </si>
  <si>
    <t>护腿</t>
    <phoneticPr fontId="2" type="noConversion"/>
  </si>
  <si>
    <t>靴子</t>
    <phoneticPr fontId="2" type="noConversion"/>
  </si>
  <si>
    <t>盾牌</t>
    <phoneticPr fontId="2" type="noConversion"/>
  </si>
  <si>
    <t>弓臂</t>
    <phoneticPr fontId="2" type="noConversion"/>
  </si>
  <si>
    <t>初速度</t>
    <phoneticPr fontId="3" type="noConversion"/>
  </si>
  <si>
    <t>拉弓速度+</t>
    <phoneticPr fontId="3" type="noConversion"/>
  </si>
  <si>
    <t>精确度+</t>
    <phoneticPr fontId="3" type="noConversion"/>
  </si>
  <si>
    <t>工具头部</t>
    <phoneticPr fontId="2" type="noConversion"/>
  </si>
  <si>
    <t>弓把</t>
    <phoneticPr fontId="2" type="noConversion"/>
  </si>
  <si>
    <t>其他</t>
    <phoneticPr fontId="2" type="noConversion"/>
  </si>
  <si>
    <t>钻石</t>
    <phoneticPr fontId="2" type="noConversion"/>
  </si>
  <si>
    <t>护甲总计</t>
    <phoneticPr fontId="2" type="noConversion"/>
  </si>
  <si>
    <t>总护甲值</t>
    <phoneticPr fontId="3" type="noConversion"/>
  </si>
  <si>
    <t>材料词条</t>
    <phoneticPr fontId="2" type="noConversion"/>
  </si>
  <si>
    <t>黑钢</t>
  </si>
  <si>
    <t>魔灵宝石</t>
  </si>
  <si>
    <t>安山合金</t>
  </si>
  <si>
    <t>铋*</t>
  </si>
  <si>
    <t>虚金</t>
  </si>
  <si>
    <t>红钢</t>
  </si>
  <si>
    <t>蓝钢</t>
  </si>
  <si>
    <t>艾瑟</t>
  </si>
  <si>
    <t>热解石墨</t>
  </si>
  <si>
    <t>Alpha框架</t>
  </si>
  <si>
    <t>烈焰石英</t>
  </si>
  <si>
    <t>余烬晶体</t>
  </si>
  <si>
    <t>活木*</t>
  </si>
  <si>
    <t>活石*</t>
  </si>
  <si>
    <t>魔力钢*</t>
  </si>
  <si>
    <t>赛特斯*</t>
  </si>
  <si>
    <t>血曜石*</t>
  </si>
  <si>
    <t>黎明石</t>
  </si>
  <si>
    <t>福鲁伊克斯*</t>
  </si>
  <si>
    <t>狱烬下界合金*</t>
  </si>
  <si>
    <t>马玉灵*</t>
  </si>
  <si>
    <t>Beta框架</t>
  </si>
  <si>
    <t>泰拉*</t>
  </si>
  <si>
    <t>戴斯*</t>
  </si>
  <si>
    <t>基础板</t>
  </si>
  <si>
    <t>硼铁</t>
  </si>
  <si>
    <t>魂染钢*</t>
  </si>
  <si>
    <t>鳍</t>
  </si>
  <si>
    <t>烬钢</t>
  </si>
  <si>
    <t>谐振水晶*</t>
  </si>
  <si>
    <t>地岩信素*</t>
  </si>
  <si>
    <t>震荡流明*</t>
  </si>
  <si>
    <t>高强</t>
  </si>
  <si>
    <t>神圣金</t>
  </si>
  <si>
    <t>海王*</t>
  </si>
  <si>
    <t>钨*</t>
  </si>
  <si>
    <t>铂*</t>
  </si>
  <si>
    <t>现世合金</t>
  </si>
  <si>
    <t>极寒末影*</t>
  </si>
  <si>
    <t>裂变反应堆外壳</t>
  </si>
  <si>
    <t>铱*</t>
  </si>
  <si>
    <t>稳态戴斯</t>
  </si>
  <si>
    <t>圣魂金</t>
  </si>
  <si>
    <t>海船墓地之回响</t>
  </si>
  <si>
    <t>Gamma框架</t>
  </si>
  <si>
    <t>导热合金</t>
  </si>
  <si>
    <t>虚空石符</t>
  </si>
  <si>
    <t>深海紫水晶</t>
  </si>
  <si>
    <t>活化彩钢*</t>
  </si>
  <si>
    <t>立方氮化硼</t>
  </si>
  <si>
    <t>恶念</t>
  </si>
  <si>
    <t>异构</t>
  </si>
  <si>
    <t>紫金*</t>
  </si>
  <si>
    <t>塑料*</t>
  </si>
  <si>
    <t>源质钢</t>
  </si>
  <si>
    <t>耐热*</t>
  </si>
  <si>
    <t>精灵钢</t>
  </si>
  <si>
    <t>智能龙</t>
  </si>
  <si>
    <t>超导线圈1</t>
  </si>
  <si>
    <t>归一精华</t>
  </si>
  <si>
    <t>Delta框架</t>
  </si>
  <si>
    <t>魔王宝石</t>
  </si>
  <si>
    <t>腾炎</t>
  </si>
  <si>
    <t>终末钢</t>
  </si>
  <si>
    <t>坍缩产物</t>
  </si>
  <si>
    <t>幽匿卷须</t>
  </si>
  <si>
    <t>幽匿微光体</t>
  </si>
  <si>
    <t>虹光</t>
  </si>
  <si>
    <t>末地石（白石)*</t>
  </si>
  <si>
    <t>聚变反应堆外壳</t>
  </si>
  <si>
    <t>钛</t>
  </si>
  <si>
    <t>伏打水晶*</t>
  </si>
  <si>
    <t>幽冥混合物</t>
  </si>
  <si>
    <t>共振板</t>
  </si>
  <si>
    <t>天华锭</t>
  </si>
  <si>
    <t>天华宝石</t>
  </si>
  <si>
    <t>铌钛合金</t>
  </si>
  <si>
    <t>氦3晶体</t>
  </si>
  <si>
    <t>无夜原之光</t>
  </si>
  <si>
    <t>亚尔夫海姆之虹光</t>
  </si>
  <si>
    <t>钛钨</t>
  </si>
  <si>
    <t>钛铝</t>
  </si>
  <si>
    <t>Epsilon框架</t>
  </si>
  <si>
    <t>氦3晶体∞</t>
  </si>
  <si>
    <t>仪召珍珠</t>
  </si>
  <si>
    <t>奇点合金</t>
  </si>
  <si>
    <t>强化黑曜石*</t>
  </si>
  <si>
    <t>强化萤石*</t>
  </si>
  <si>
    <t>超致密*</t>
  </si>
  <si>
    <t>锇荧黑曜石*</t>
  </si>
  <si>
    <t>镭光*</t>
  </si>
  <si>
    <t>反物质*</t>
  </si>
  <si>
    <t>中子星*</t>
  </si>
  <si>
    <t>阶段</t>
  </si>
  <si>
    <t>阶段阶级</t>
  </si>
  <si>
    <t>1+</t>
    <phoneticPr fontId="2" type="noConversion"/>
  </si>
  <si>
    <t>2+</t>
    <phoneticPr fontId="2" type="noConversion"/>
  </si>
  <si>
    <t>3+</t>
    <phoneticPr fontId="2" type="noConversion"/>
  </si>
  <si>
    <t>总韧性</t>
    <phoneticPr fontId="3" type="noConversion"/>
  </si>
  <si>
    <t>实际护甲</t>
    <phoneticPr fontId="3" type="noConversion"/>
  </si>
  <si>
    <t>防御部件</t>
    <phoneticPr fontId="2" type="noConversion"/>
  </si>
  <si>
    <t>锁链基底</t>
    <phoneticPr fontId="2" type="noConversion"/>
  </si>
  <si>
    <t>盾牌基底</t>
    <phoneticPr fontId="2" type="noConversion"/>
  </si>
  <si>
    <t>弓弦</t>
    <phoneticPr fontId="2" type="noConversion"/>
  </si>
  <si>
    <t>是否启用</t>
  </si>
  <si>
    <t>远程部件</t>
    <phoneticPr fontId="2" type="noConversion"/>
  </si>
  <si>
    <t>工具部件</t>
    <phoneticPr fontId="2" type="noConversion"/>
  </si>
  <si>
    <t>下界合金</t>
    <phoneticPr fontId="2" type="noConversion"/>
  </si>
  <si>
    <t>ID</t>
    <phoneticPr fontId="2" type="noConversion"/>
  </si>
  <si>
    <t>'kubejs:virtual_gold_ingot'</t>
  </si>
  <si>
    <t>'kubejs:alpha_framework'</t>
  </si>
  <si>
    <t>'#forge:ingots/iesnium'</t>
  </si>
  <si>
    <t>'#forge:ingots/hop_graphite'</t>
  </si>
  <si>
    <t>'cataclysm:black_steel_nugget'</t>
  </si>
  <si>
    <t>'occultism:iesnium_nugget'</t>
  </si>
  <si>
    <t>'tfc:powder/graphite'</t>
  </si>
  <si>
    <t>leftover</t>
    <phoneticPr fontId="2" type="noConversion"/>
  </si>
  <si>
    <t>#forge:ingots/black_steel'</t>
    <phoneticPr fontId="2" type="noConversion"/>
  </si>
  <si>
    <t>精炼钢</t>
    <phoneticPr fontId="2" type="noConversion"/>
  </si>
  <si>
    <t>精炼M钢</t>
    <phoneticPr fontId="2" type="noConversion"/>
  </si>
  <si>
    <t>聚合物</t>
    <phoneticPr fontId="2" type="noConversion"/>
  </si>
  <si>
    <t>'tinkers_things:hematite_block'</t>
  </si>
  <si>
    <t>'tinkers_things:hematite'</t>
  </si>
  <si>
    <t>'#forge:ingots/dawnstone'</t>
  </si>
  <si>
    <t>'#forge:gems/fluix'</t>
  </si>
  <si>
    <t>null</t>
    <phoneticPr fontId="2" type="noConversion"/>
  </si>
  <si>
    <t>'tinkers_advanced:blaze_netherite'</t>
  </si>
  <si>
    <t>'#forge:ingots/manyullyn'</t>
  </si>
  <si>
    <t>'kubejs:beta_framework'</t>
  </si>
  <si>
    <t>'kubejs:ancient_netherite'</t>
  </si>
  <si>
    <t>远古下界合金</t>
    <phoneticPr fontId="2" type="noConversion"/>
  </si>
  <si>
    <t>'#forge:ingots/terrasteel'</t>
  </si>
  <si>
    <t>'malum:blazing_quartz'</t>
  </si>
  <si>
    <t>'malum:blazing_quartz_fragment'</t>
  </si>
  <si>
    <t>embers:ember_crystal'</t>
    <phoneticPr fontId="2" type="noConversion"/>
  </si>
  <si>
    <t>'embers:ember_shard'</t>
  </si>
  <si>
    <t>'#botania:livingwood_logs'</t>
  </si>
  <si>
    <t>'botania:livingrock'</t>
  </si>
  <si>
    <t>'#forge:ingots/manasteel'</t>
  </si>
  <si>
    <t>'#forge:gems/certus_quartz'</t>
  </si>
  <si>
    <t>null</t>
  </si>
  <si>
    <t>原体合金</t>
    <phoneticPr fontId="2" type="noConversion"/>
  </si>
  <si>
    <t>'kubejs:end_steel'</t>
  </si>
  <si>
    <t>'kubejs:collapse_prediction'</t>
  </si>
  <si>
    <t>'deeperdarker:sculk_tendrils'</t>
  </si>
  <si>
    <t>'deeperdarker:sculk_gleam'</t>
  </si>
  <si>
    <t>'kubejs:iridescent'</t>
  </si>
  <si>
    <t>whitestone</t>
    <phoneticPr fontId="2" type="noConversion"/>
  </si>
  <si>
    <t>'nuclearcraft:fusion_reactor_casing'</t>
  </si>
  <si>
    <t>'#forge:ingots/titanium'</t>
  </si>
  <si>
    <t>'kubejs:otherside_mixture'</t>
  </si>
  <si>
    <t>'deeperdarker:resonarium_plate'</t>
  </si>
  <si>
    <t>'aetherworks:ingot_aether'</t>
  </si>
  <si>
    <t>'aetherworks:gem_aether'</t>
  </si>
  <si>
    <t>'nuclearcraft:niobium_titanium_ingot'</t>
  </si>
  <si>
    <t>'kubejs:helium_3_crystal'</t>
  </si>
  <si>
    <t>'kubejs:light_of_inlixaland'</t>
  </si>
  <si>
    <t>'kubejs:alfheim_iridescent'</t>
  </si>
  <si>
    <t>ex</t>
    <phoneticPr fontId="2" type="noConversion"/>
  </si>
  <si>
    <t>'dustandash:titanium_tungsten_alloy'</t>
  </si>
  <si>
    <t>'dustandash:titanium_aluminum_alloy'</t>
  </si>
  <si>
    <t>'kubejs:epsilon_framework'</t>
  </si>
  <si>
    <t>'kubejs:helium_3_crystal_infinity'</t>
  </si>
  <si>
    <t>'aetherworks:aether_pearl'</t>
  </si>
  <si>
    <t>'kubejs:basepoint_alloy'</t>
  </si>
  <si>
    <t>超导线圈2</t>
    <phoneticPr fontId="2" type="noConversion"/>
  </si>
  <si>
    <t>'#forge:ingots/ostrum'</t>
  </si>
  <si>
    <t>'#tinkers_advanced:plastic'</t>
  </si>
  <si>
    <t>'tinkers_advanced:resonance_crystal'</t>
  </si>
  <si>
    <t>'#botania:elementium_ingots'</t>
  </si>
  <si>
    <t>'#forge:ingots/calorite'</t>
  </si>
  <si>
    <t>'mythicbotany:alfsteel_ingot'</t>
  </si>
  <si>
    <t>'kubejs:intelligent_draconium_ingot'</t>
  </si>
  <si>
    <t>'kubejs:superconducting_coil_type_1'</t>
  </si>
  <si>
    <t>'kubejs:unify_essence'</t>
  </si>
  <si>
    <t>'kubejs:delta_framework'</t>
  </si>
  <si>
    <t>'kubejs:marid_binded_gem'</t>
  </si>
  <si>
    <t>'cataclysm:ignitium_ingot'</t>
  </si>
  <si>
    <t>咒魂</t>
    <phoneticPr fontId="2" type="noConversion"/>
  </si>
  <si>
    <t>.</t>
    <phoneticPr fontId="2" type="noConversion"/>
  </si>
  <si>
    <t>'#forge:ingots/desh'</t>
  </si>
  <si>
    <t>'nuclearcraft:plate_basic'</t>
  </si>
  <si>
    <t>'#forge:ingots/ferroboron'</t>
  </si>
  <si>
    <t>'#forge:ingots/soul_stained_steel'</t>
  </si>
  <si>
    <t>'aquamirae:fin'</t>
  </si>
  <si>
    <t>'dustandash:ash_steel_ingot'</t>
  </si>
  <si>
    <t>'tinkers_advanced:basalz_signalum'</t>
  </si>
  <si>
    <t>'tinkers_advanced:blitz_lumium'</t>
  </si>
  <si>
    <t>'#forge:ingots/tough_alloy'</t>
  </si>
  <si>
    <t>盖亚魂</t>
    <phoneticPr fontId="2" type="noConversion"/>
  </si>
  <si>
    <t>铍青铜</t>
    <phoneticPr fontId="2" type="noConversion"/>
  </si>
  <si>
    <t>5?</t>
    <phoneticPr fontId="2" type="noConversion"/>
  </si>
  <si>
    <t>凋零</t>
    <phoneticPr fontId="2" type="noConversion"/>
  </si>
  <si>
    <t>'malum:hallowed_gold_ingot'</t>
  </si>
  <si>
    <t>'#forge:ingots/tungsten'</t>
  </si>
  <si>
    <t>'#forge:ingots/platinum'</t>
  </si>
  <si>
    <t>'kubejs:present_alloy'</t>
  </si>
  <si>
    <t>'tinkers_advanced:blizz_enderium'</t>
  </si>
  <si>
    <t>'#nuclearcraft:fission_reactor_casing'</t>
  </si>
  <si>
    <t>'#forge:ingots/iridium'</t>
  </si>
  <si>
    <t>'kubejs:stable_desh_ingot'</t>
  </si>
  <si>
    <t>'kubejs:hallowed_soul_steel_ingot'</t>
  </si>
  <si>
    <t>'aquamirae:ship_graveyard_echo'</t>
  </si>
  <si>
    <t>'kubejs:gamma_framework'</t>
  </si>
  <si>
    <t>'#forge:ingots/thermoconducting'</t>
  </si>
  <si>
    <t>'malum:void_tablet'</t>
  </si>
  <si>
    <t>'aquamirae:abyssal_amethyst'</t>
  </si>
  <si>
    <t>'tinkers_advanced:activated_chromatic_steel'</t>
  </si>
  <si>
    <t>'#forge:gems/boron_nitride'</t>
  </si>
  <si>
    <t>'malum:malignant_pewter_ingot'</t>
  </si>
  <si>
    <t>'kubejs:ember_profile'</t>
  </si>
  <si>
    <t>铁</t>
    <phoneticPr fontId="2" type="noConversion"/>
  </si>
  <si>
    <t>毒之骨</t>
    <phoneticPr fontId="2" type="noConversion"/>
  </si>
  <si>
    <t>粘木</t>
    <phoneticPr fontId="2" type="noConversion"/>
  </si>
  <si>
    <t>锇</t>
    <phoneticPr fontId="2" type="noConversion"/>
  </si>
  <si>
    <t>防腐木</t>
    <phoneticPr fontId="2" type="noConversion"/>
  </si>
  <si>
    <t>铅</t>
    <phoneticPr fontId="2" type="noConversion"/>
  </si>
  <si>
    <t>银</t>
    <phoneticPr fontId="2" type="noConversion"/>
  </si>
  <si>
    <t>粘钢</t>
    <phoneticPr fontId="2" type="noConversion"/>
  </si>
  <si>
    <t>紫水晶青铜</t>
    <phoneticPr fontId="2" type="noConversion"/>
  </si>
  <si>
    <t>纳瓦</t>
    <phoneticPr fontId="2" type="noConversion"/>
  </si>
  <si>
    <t>生铁</t>
    <phoneticPr fontId="2" type="noConversion"/>
  </si>
  <si>
    <t>玫瑰金</t>
    <phoneticPr fontId="2" type="noConversion"/>
  </si>
  <si>
    <t>青铜</t>
    <phoneticPr fontId="2" type="noConversion"/>
  </si>
  <si>
    <t>康铜</t>
    <phoneticPr fontId="2" type="noConversion"/>
  </si>
  <si>
    <t>殷钢</t>
    <phoneticPr fontId="2" type="noConversion"/>
  </si>
  <si>
    <t>琥珀金</t>
    <phoneticPr fontId="2" type="noConversion"/>
  </si>
  <si>
    <t>黏液浸钢</t>
    <phoneticPr fontId="2" type="noConversion"/>
  </si>
  <si>
    <t>粉色史莱姆金属</t>
    <phoneticPr fontId="2" type="noConversion"/>
  </si>
  <si>
    <t>复合粘木</t>
    <phoneticPr fontId="2" type="noConversion"/>
  </si>
  <si>
    <t>钴</t>
    <phoneticPr fontId="2" type="noConversion"/>
  </si>
  <si>
    <t>钢</t>
    <phoneticPr fontId="2" type="noConversion"/>
  </si>
  <si>
    <t>黄铜</t>
    <phoneticPr fontId="2" type="noConversion"/>
  </si>
  <si>
    <t>余烬黏液</t>
    <phoneticPr fontId="2" type="noConversion"/>
  </si>
  <si>
    <t>皇后史莱姆</t>
    <phoneticPr fontId="2" type="noConversion"/>
  </si>
  <si>
    <t>黑色青铜</t>
    <phoneticPr fontId="2" type="noConversion"/>
  </si>
  <si>
    <t>锑</t>
    <phoneticPr fontId="2" type="noConversion"/>
  </si>
  <si>
    <t>木</t>
    <phoneticPr fontId="2" type="noConversion"/>
  </si>
  <si>
    <t>岩石</t>
    <phoneticPr fontId="2" type="noConversion"/>
  </si>
  <si>
    <t>燧石</t>
    <phoneticPr fontId="2" type="noConversion"/>
  </si>
  <si>
    <t>骨头</t>
    <phoneticPr fontId="2" type="noConversion"/>
  </si>
  <si>
    <t>铜</t>
    <phoneticPr fontId="2" type="noConversion"/>
  </si>
  <si>
    <t>紫菘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</si>
</sst>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0" borderId="1" xfId="3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3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" fillId="0" borderId="0" xfId="3" applyFill="1" applyBorder="1" applyAlignment="1">
      <alignment horizontal="center" vertical="center"/>
    </xf>
    <xf numFmtId="0" fontId="1" fillId="5" borderId="5" xfId="4" applyBorder="1" applyAlignment="1">
      <alignment horizontal="center" vertical="center"/>
    </xf>
    <xf numFmtId="0" fontId="1" fillId="3" borderId="1" xfId="2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3" borderId="3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5" borderId="6" xfId="4" applyBorder="1" applyAlignment="1">
      <alignment horizontal="center" vertical="center"/>
    </xf>
    <xf numFmtId="0" fontId="1" fillId="5" borderId="7" xfId="4" applyBorder="1" applyAlignment="1">
      <alignment horizontal="center" vertical="center"/>
    </xf>
    <xf numFmtId="0" fontId="1" fillId="5" borderId="8" xfId="4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4" borderId="9" xfId="3" applyBorder="1" applyAlignment="1">
      <alignment horizontal="center" vertical="center"/>
    </xf>
    <xf numFmtId="0" fontId="1" fillId="4" borderId="0" xfId="3" applyBorder="1" applyAlignment="1">
      <alignment horizontal="center" vertical="center"/>
    </xf>
    <xf numFmtId="0" fontId="1" fillId="3" borderId="2" xfId="2" applyBorder="1" applyAlignment="1">
      <alignment horizontal="center" vertical="center"/>
    </xf>
    <xf numFmtId="0" fontId="1" fillId="4" borderId="6" xfId="3" applyBorder="1" applyAlignment="1">
      <alignment horizontal="center" vertical="center"/>
    </xf>
    <xf numFmtId="0" fontId="1" fillId="4" borderId="7" xfId="3" applyBorder="1" applyAlignment="1">
      <alignment horizontal="center" vertical="center"/>
    </xf>
    <xf numFmtId="0" fontId="1" fillId="4" borderId="8" xfId="3" applyBorder="1" applyAlignment="1">
      <alignment horizontal="center" vertical="center"/>
    </xf>
    <xf numFmtId="0" fontId="1" fillId="4" borderId="5" xfId="3" applyBorder="1" applyAlignment="1">
      <alignment horizontal="center" vertical="center"/>
    </xf>
  </cellXfs>
  <cellStyles count="5">
    <cellStyle name="20% - 着色 2" xfId="1" builtinId="34"/>
    <cellStyle name="20% - 着色 4" xfId="2" builtinId="42"/>
    <cellStyle name="20% - 着色 5" xfId="3" builtinId="46"/>
    <cellStyle name="20% - 着色 6" xfId="4" builtinId="5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0"/>
  <sheetViews>
    <sheetView zoomScaleNormal="100" workbookViewId="0">
      <pane xSplit="3" topLeftCell="F1" activePane="topRight" state="frozen"/>
      <selection pane="topRight" activeCell="K5" sqref="K5"/>
    </sheetView>
  </sheetViews>
  <sheetFormatPr defaultColWidth="16.625" defaultRowHeight="20.100000000000001" customHeight="1" x14ac:dyDescent="0.2"/>
  <cols>
    <col min="1" max="16384" width="16.625" style="2"/>
  </cols>
  <sheetData>
    <row r="2" spans="1:13" ht="20.100000000000001" customHeight="1" x14ac:dyDescent="0.2"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</row>
    <row r="3" spans="1:13" ht="20.100000000000001" customHeight="1" x14ac:dyDescent="0.2">
      <c r="D3" s="2" t="s">
        <v>0</v>
      </c>
    </row>
    <row r="4" spans="1:13" s="1" customFormat="1" ht="20.100000000000001" customHeight="1" x14ac:dyDescent="0.2">
      <c r="D4" s="1" t="s">
        <v>31</v>
      </c>
      <c r="E4" s="1" t="s">
        <v>32</v>
      </c>
      <c r="F4" s="1" t="s">
        <v>33</v>
      </c>
      <c r="G4" s="1" t="s">
        <v>34</v>
      </c>
      <c r="H4" s="1" t="s">
        <v>36</v>
      </c>
      <c r="I4" s="1" t="s">
        <v>37</v>
      </c>
      <c r="J4" s="1" t="s">
        <v>35</v>
      </c>
      <c r="K4" s="1" t="s">
        <v>38</v>
      </c>
      <c r="L4" s="1" t="s">
        <v>39</v>
      </c>
      <c r="M4" s="1" t="s">
        <v>40</v>
      </c>
    </row>
    <row r="5" spans="1:13" s="1" customFormat="1" ht="20.100000000000001" customHeight="1" x14ac:dyDescent="0.2">
      <c r="C5" s="1" t="s">
        <v>139</v>
      </c>
      <c r="D5" s="16" t="s">
        <v>148</v>
      </c>
      <c r="J5" s="1" t="s">
        <v>140</v>
      </c>
      <c r="K5" s="1" t="s">
        <v>142</v>
      </c>
      <c r="L5" s="1" t="s">
        <v>143</v>
      </c>
      <c r="M5" s="1" t="s">
        <v>141</v>
      </c>
    </row>
    <row r="6" spans="1:13" s="1" customFormat="1" ht="20.100000000000001" customHeight="1" x14ac:dyDescent="0.2">
      <c r="C6" s="1" t="s">
        <v>147</v>
      </c>
      <c r="D6" s="1" t="s">
        <v>144</v>
      </c>
      <c r="J6" s="1" t="s">
        <v>144</v>
      </c>
      <c r="K6" s="1" t="s">
        <v>145</v>
      </c>
      <c r="L6" s="1" t="s">
        <v>146</v>
      </c>
      <c r="M6" s="1" t="s">
        <v>144</v>
      </c>
    </row>
    <row r="7" spans="1:13" s="1" customFormat="1" ht="20.100000000000001" customHeight="1" x14ac:dyDescent="0.2">
      <c r="C7" s="1" t="s">
        <v>124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</row>
    <row r="8" spans="1:13" s="1" customFormat="1" ht="20.100000000000001" customHeight="1" x14ac:dyDescent="0.2">
      <c r="C8" s="1" t="s">
        <v>125</v>
      </c>
      <c r="D8" s="1">
        <v>1</v>
      </c>
      <c r="E8" s="1" t="s">
        <v>126</v>
      </c>
      <c r="F8" s="1">
        <v>1</v>
      </c>
      <c r="G8" s="1">
        <v>1</v>
      </c>
      <c r="H8" s="1">
        <v>2</v>
      </c>
      <c r="I8" s="1">
        <v>2</v>
      </c>
      <c r="J8" s="1" t="s">
        <v>127</v>
      </c>
      <c r="K8" s="1" t="s">
        <v>127</v>
      </c>
      <c r="L8" s="1">
        <v>3</v>
      </c>
      <c r="M8" s="1">
        <v>4</v>
      </c>
    </row>
    <row r="9" spans="1:13" s="3" customFormat="1" ht="20.100000000000001" customHeight="1" x14ac:dyDescent="0.2">
      <c r="A9" s="20" t="s">
        <v>137</v>
      </c>
      <c r="B9" s="18" t="s">
        <v>24</v>
      </c>
      <c r="C9" s="3" t="s">
        <v>6</v>
      </c>
      <c r="D9" s="3">
        <v>10</v>
      </c>
      <c r="E9" s="3">
        <v>13</v>
      </c>
      <c r="F9" s="3">
        <v>11</v>
      </c>
      <c r="G9" s="3">
        <v>9</v>
      </c>
      <c r="H9" s="3">
        <v>17</v>
      </c>
      <c r="I9" s="3">
        <v>15</v>
      </c>
      <c r="J9" s="3">
        <v>18</v>
      </c>
      <c r="K9" s="3">
        <v>18</v>
      </c>
      <c r="L9" s="3">
        <v>22</v>
      </c>
      <c r="M9" s="3">
        <v>23</v>
      </c>
    </row>
    <row r="10" spans="1:13" s="3" customFormat="1" ht="20.100000000000001" customHeight="1" x14ac:dyDescent="0.2">
      <c r="A10" s="20"/>
      <c r="B10" s="18"/>
      <c r="C10" s="3" t="s">
        <v>7</v>
      </c>
      <c r="D10" s="3">
        <v>600</v>
      </c>
      <c r="E10" s="3">
        <v>650</v>
      </c>
      <c r="F10" s="3">
        <v>550</v>
      </c>
      <c r="G10" s="3">
        <v>450</v>
      </c>
      <c r="H10" s="3">
        <v>750</v>
      </c>
      <c r="I10" s="3">
        <v>850</v>
      </c>
      <c r="J10" s="3">
        <v>650</v>
      </c>
      <c r="K10" s="3">
        <v>650</v>
      </c>
      <c r="L10" s="3">
        <v>250</v>
      </c>
      <c r="M10" s="3">
        <v>800</v>
      </c>
    </row>
    <row r="11" spans="1:13" s="3" customFormat="1" ht="20.100000000000001" customHeight="1" x14ac:dyDescent="0.2">
      <c r="A11" s="20"/>
      <c r="B11" s="18"/>
      <c r="C11" s="3" t="s">
        <v>8</v>
      </c>
      <c r="D11" s="3">
        <v>7</v>
      </c>
      <c r="E11" s="3">
        <v>7</v>
      </c>
      <c r="F11" s="3">
        <v>8</v>
      </c>
      <c r="G11" s="3">
        <v>6</v>
      </c>
      <c r="H11" s="3">
        <v>7</v>
      </c>
      <c r="I11" s="3">
        <v>8</v>
      </c>
      <c r="J11" s="3">
        <v>9</v>
      </c>
      <c r="K11" s="3">
        <v>9</v>
      </c>
      <c r="L11" s="3">
        <v>7</v>
      </c>
      <c r="M11" s="3">
        <v>9</v>
      </c>
    </row>
    <row r="12" spans="1:13" s="3" customFormat="1" ht="20.100000000000001" customHeight="1" x14ac:dyDescent="0.2">
      <c r="A12" s="20"/>
      <c r="B12" s="18"/>
      <c r="C12" s="3" t="s">
        <v>9</v>
      </c>
      <c r="D12" s="3" t="s">
        <v>27</v>
      </c>
      <c r="E12" s="3" t="s">
        <v>138</v>
      </c>
      <c r="F12" s="3" t="s">
        <v>27</v>
      </c>
      <c r="G12" s="3" t="s">
        <v>27</v>
      </c>
      <c r="H12" s="3" t="s">
        <v>138</v>
      </c>
      <c r="I12" s="3" t="s">
        <v>138</v>
      </c>
      <c r="J12" s="3" t="s">
        <v>138</v>
      </c>
      <c r="K12" s="3" t="s">
        <v>138</v>
      </c>
      <c r="L12" s="3" t="s">
        <v>27</v>
      </c>
      <c r="M12" s="3" t="s">
        <v>138</v>
      </c>
    </row>
    <row r="13" spans="1:13" s="3" customFormat="1" ht="20.100000000000001" customHeight="1" x14ac:dyDescent="0.2">
      <c r="A13" s="20"/>
      <c r="B13" s="18" t="s">
        <v>30</v>
      </c>
      <c r="C13" s="3">
        <v>1</v>
      </c>
    </row>
    <row r="14" spans="1:13" s="3" customFormat="1" ht="20.100000000000001" customHeight="1" x14ac:dyDescent="0.2">
      <c r="A14" s="20"/>
      <c r="B14" s="18"/>
      <c r="C14" s="3">
        <v>2</v>
      </c>
    </row>
    <row r="15" spans="1:13" s="3" customFormat="1" ht="20.100000000000001" customHeight="1" x14ac:dyDescent="0.2">
      <c r="A15" s="20"/>
      <c r="B15" s="18"/>
      <c r="C15" s="3">
        <v>3</v>
      </c>
    </row>
    <row r="16" spans="1:13" ht="20.100000000000001" customHeight="1" x14ac:dyDescent="0.2">
      <c r="A16" s="20"/>
    </row>
    <row r="17" spans="1:13" s="3" customFormat="1" ht="20.100000000000001" customHeight="1" x14ac:dyDescent="0.2">
      <c r="A17" s="20"/>
      <c r="B17" s="24" t="s">
        <v>1</v>
      </c>
      <c r="C17" s="3" t="s">
        <v>2</v>
      </c>
      <c r="D17" s="3">
        <v>0</v>
      </c>
      <c r="E17" s="3">
        <v>0.1</v>
      </c>
      <c r="F17" s="3">
        <v>0.3</v>
      </c>
      <c r="G17" s="3">
        <v>-0.1</v>
      </c>
      <c r="H17" s="3">
        <v>-0.1</v>
      </c>
      <c r="I17" s="3">
        <v>0.3</v>
      </c>
      <c r="J17" s="3">
        <v>0</v>
      </c>
      <c r="K17" s="3">
        <v>0.1</v>
      </c>
      <c r="L17" s="3">
        <v>-0.1</v>
      </c>
      <c r="M17" s="3">
        <v>0.1</v>
      </c>
    </row>
    <row r="18" spans="1:13" s="3" customFormat="1" ht="20.100000000000001" customHeight="1" x14ac:dyDescent="0.2">
      <c r="A18" s="20"/>
      <c r="B18" s="25"/>
      <c r="C18" s="3" t="s">
        <v>3</v>
      </c>
      <c r="D18" s="3">
        <v>0.2</v>
      </c>
      <c r="E18" s="3">
        <v>0.15</v>
      </c>
      <c r="F18" s="3">
        <v>0</v>
      </c>
      <c r="G18" s="3">
        <v>0.2</v>
      </c>
      <c r="H18" s="3">
        <v>0.25</v>
      </c>
      <c r="I18" s="3">
        <v>0.15</v>
      </c>
      <c r="J18" s="3">
        <v>0.3</v>
      </c>
      <c r="K18" s="3">
        <v>0.25</v>
      </c>
      <c r="L18" s="3">
        <v>0.3</v>
      </c>
      <c r="M18" s="3">
        <v>0.3</v>
      </c>
    </row>
    <row r="19" spans="1:13" s="3" customFormat="1" ht="20.100000000000001" customHeight="1" x14ac:dyDescent="0.2">
      <c r="A19" s="20"/>
      <c r="B19" s="25"/>
      <c r="C19" s="3" t="s">
        <v>4</v>
      </c>
      <c r="D19" s="3">
        <v>0</v>
      </c>
      <c r="E19" s="3">
        <v>0.05</v>
      </c>
      <c r="F19" s="3">
        <v>0</v>
      </c>
      <c r="G19" s="3">
        <v>0.05</v>
      </c>
      <c r="H19" s="3">
        <v>0</v>
      </c>
      <c r="I19" s="3">
        <v>0.1</v>
      </c>
      <c r="J19" s="3">
        <v>0.05</v>
      </c>
      <c r="K19" s="3">
        <v>0.05</v>
      </c>
      <c r="L19" s="3">
        <v>0.1</v>
      </c>
      <c r="M19" s="3">
        <v>0.05</v>
      </c>
    </row>
    <row r="20" spans="1:13" s="3" customFormat="1" ht="20.100000000000001" customHeight="1" x14ac:dyDescent="0.2">
      <c r="A20" s="20"/>
      <c r="B20" s="26"/>
      <c r="C20" s="3" t="s">
        <v>5</v>
      </c>
      <c r="D20" s="3">
        <v>0.1</v>
      </c>
      <c r="E20" s="3">
        <v>0</v>
      </c>
      <c r="F20" s="3">
        <v>0.2</v>
      </c>
      <c r="G20" s="3">
        <v>0</v>
      </c>
      <c r="H20" s="3">
        <v>0.05</v>
      </c>
      <c r="I20" s="3">
        <v>0.2</v>
      </c>
      <c r="J20" s="3">
        <v>0.1</v>
      </c>
      <c r="K20" s="3">
        <v>0.25</v>
      </c>
      <c r="L20" s="3">
        <v>0.1</v>
      </c>
      <c r="M20" s="3">
        <v>0.15</v>
      </c>
    </row>
    <row r="21" spans="1:13" ht="20.100000000000001" customHeight="1" x14ac:dyDescent="0.2">
      <c r="B21" s="10"/>
      <c r="C21" s="10"/>
      <c r="D21" s="10"/>
      <c r="E21" s="10"/>
    </row>
    <row r="22" spans="1:13" s="4" customFormat="1" ht="20.100000000000001" customHeight="1" x14ac:dyDescent="0.2">
      <c r="A22" s="33" t="s">
        <v>131</v>
      </c>
      <c r="B22" s="21" t="s">
        <v>12</v>
      </c>
      <c r="C22" s="4" t="s">
        <v>13</v>
      </c>
      <c r="D22" s="4">
        <v>2</v>
      </c>
      <c r="E22" s="4">
        <v>2</v>
      </c>
      <c r="F22" s="4">
        <v>2</v>
      </c>
      <c r="G22" s="4">
        <v>1</v>
      </c>
      <c r="H22" s="4">
        <v>2</v>
      </c>
      <c r="I22" s="4">
        <v>3</v>
      </c>
      <c r="J22" s="4">
        <v>3</v>
      </c>
      <c r="K22" s="4">
        <v>3</v>
      </c>
      <c r="L22" s="4">
        <v>4</v>
      </c>
      <c r="M22" s="4">
        <v>4</v>
      </c>
    </row>
    <row r="23" spans="1:13" s="4" customFormat="1" ht="20.100000000000001" customHeight="1" x14ac:dyDescent="0.2">
      <c r="A23" s="34"/>
      <c r="B23" s="21"/>
      <c r="C23" s="4" t="s">
        <v>7</v>
      </c>
      <c r="D23" s="4">
        <f>0.7*D28</f>
        <v>420</v>
      </c>
      <c r="E23" s="4">
        <f t="shared" ref="E23:M23" si="0">0.7*E28</f>
        <v>454.99999999999994</v>
      </c>
      <c r="F23" s="4">
        <f t="shared" si="0"/>
        <v>385</v>
      </c>
      <c r="G23" s="4">
        <f t="shared" si="0"/>
        <v>315</v>
      </c>
      <c r="H23" s="4">
        <f t="shared" si="0"/>
        <v>525</v>
      </c>
      <c r="I23" s="4">
        <f t="shared" si="0"/>
        <v>595</v>
      </c>
      <c r="J23" s="4">
        <f t="shared" si="0"/>
        <v>454.99999999999994</v>
      </c>
      <c r="K23" s="4">
        <f t="shared" si="0"/>
        <v>454.99999999999994</v>
      </c>
      <c r="L23" s="4">
        <f t="shared" si="0"/>
        <v>175</v>
      </c>
      <c r="M23" s="4">
        <f t="shared" si="0"/>
        <v>560</v>
      </c>
    </row>
    <row r="24" spans="1:13" s="4" customFormat="1" ht="20.100000000000001" customHeight="1" x14ac:dyDescent="0.2">
      <c r="A24" s="34"/>
      <c r="B24" s="21"/>
      <c r="C24" s="4" t="s">
        <v>14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2</v>
      </c>
    </row>
    <row r="25" spans="1:13" s="4" customFormat="1" ht="20.100000000000001" customHeight="1" x14ac:dyDescent="0.2">
      <c r="A25" s="34"/>
      <c r="B25" s="21"/>
      <c r="C25" s="4" t="s">
        <v>15</v>
      </c>
    </row>
    <row r="26" spans="1:13" ht="20.100000000000001" customHeight="1" x14ac:dyDescent="0.2">
      <c r="A26" s="34"/>
      <c r="B26" s="10"/>
      <c r="C26" s="10"/>
      <c r="D26" s="10"/>
      <c r="E26" s="10"/>
    </row>
    <row r="27" spans="1:13" s="4" customFormat="1" ht="20.100000000000001" customHeight="1" x14ac:dyDescent="0.2">
      <c r="A27" s="34"/>
      <c r="B27" s="21" t="s">
        <v>16</v>
      </c>
      <c r="C27" s="4" t="s">
        <v>13</v>
      </c>
      <c r="D27" s="4">
        <v>3</v>
      </c>
      <c r="E27" s="4">
        <v>4</v>
      </c>
      <c r="F27" s="4">
        <v>3</v>
      </c>
      <c r="G27" s="4">
        <v>3</v>
      </c>
      <c r="H27" s="4">
        <v>4</v>
      </c>
      <c r="I27" s="4">
        <v>4</v>
      </c>
      <c r="J27" s="4">
        <v>4</v>
      </c>
      <c r="K27" s="4">
        <v>5</v>
      </c>
      <c r="L27" s="4">
        <v>5</v>
      </c>
      <c r="M27" s="4">
        <v>6</v>
      </c>
    </row>
    <row r="28" spans="1:13" s="4" customFormat="1" ht="20.100000000000001" customHeight="1" x14ac:dyDescent="0.2">
      <c r="A28" s="34"/>
      <c r="B28" s="21"/>
      <c r="C28" s="4" t="s">
        <v>7</v>
      </c>
      <c r="D28" s="4">
        <f t="shared" ref="D28:M28" si="1">D10</f>
        <v>600</v>
      </c>
      <c r="E28" s="4">
        <f t="shared" si="1"/>
        <v>650</v>
      </c>
      <c r="F28" s="4">
        <f t="shared" si="1"/>
        <v>550</v>
      </c>
      <c r="G28" s="4">
        <f t="shared" si="1"/>
        <v>450</v>
      </c>
      <c r="H28" s="4">
        <f t="shared" si="1"/>
        <v>750</v>
      </c>
      <c r="I28" s="4">
        <f t="shared" si="1"/>
        <v>850</v>
      </c>
      <c r="J28" s="4">
        <f t="shared" si="1"/>
        <v>650</v>
      </c>
      <c r="K28" s="4">
        <f t="shared" si="1"/>
        <v>650</v>
      </c>
      <c r="L28" s="4">
        <f t="shared" si="1"/>
        <v>250</v>
      </c>
      <c r="M28" s="4">
        <f t="shared" si="1"/>
        <v>800</v>
      </c>
    </row>
    <row r="29" spans="1:13" s="4" customFormat="1" ht="20.100000000000001" customHeight="1" x14ac:dyDescent="0.2">
      <c r="A29" s="34"/>
      <c r="B29" s="21"/>
      <c r="C29" s="4" t="s">
        <v>14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2</v>
      </c>
    </row>
    <row r="30" spans="1:13" s="4" customFormat="1" ht="20.100000000000001" customHeight="1" x14ac:dyDescent="0.2">
      <c r="A30" s="34"/>
      <c r="B30" s="21"/>
      <c r="C30" s="4" t="s">
        <v>15</v>
      </c>
    </row>
    <row r="31" spans="1:13" ht="20.100000000000001" customHeight="1" x14ac:dyDescent="0.2">
      <c r="A31" s="34"/>
      <c r="B31" s="9"/>
      <c r="C31" s="9"/>
      <c r="D31" s="9"/>
      <c r="E31" s="9"/>
    </row>
    <row r="32" spans="1:13" s="4" customFormat="1" ht="20.100000000000001" customHeight="1" x14ac:dyDescent="0.2">
      <c r="A32" s="34"/>
      <c r="B32" s="27" t="s">
        <v>17</v>
      </c>
      <c r="C32" s="4" t="s">
        <v>13</v>
      </c>
      <c r="D32" s="4">
        <v>3</v>
      </c>
      <c r="E32" s="4">
        <v>3</v>
      </c>
      <c r="F32" s="4">
        <v>3</v>
      </c>
      <c r="G32" s="4">
        <v>3</v>
      </c>
      <c r="H32" s="4">
        <v>3</v>
      </c>
      <c r="I32" s="4">
        <v>4</v>
      </c>
      <c r="J32" s="4">
        <v>5</v>
      </c>
      <c r="K32" s="4">
        <v>4</v>
      </c>
      <c r="L32" s="4">
        <v>4</v>
      </c>
      <c r="M32" s="4">
        <v>4</v>
      </c>
    </row>
    <row r="33" spans="1:13" s="4" customFormat="1" ht="20.100000000000001" customHeight="1" x14ac:dyDescent="0.2">
      <c r="A33" s="34"/>
      <c r="B33" s="28"/>
      <c r="C33" s="4" t="s">
        <v>7</v>
      </c>
      <c r="D33" s="4">
        <f>0.9*D28</f>
        <v>540</v>
      </c>
      <c r="E33" s="4">
        <f t="shared" ref="E33:M33" si="2">0.9*E28</f>
        <v>585</v>
      </c>
      <c r="F33" s="4">
        <f t="shared" si="2"/>
        <v>495</v>
      </c>
      <c r="G33" s="4">
        <f t="shared" si="2"/>
        <v>405</v>
      </c>
      <c r="H33" s="4">
        <f t="shared" si="2"/>
        <v>675</v>
      </c>
      <c r="I33" s="4">
        <f t="shared" si="2"/>
        <v>765</v>
      </c>
      <c r="J33" s="4">
        <f t="shared" si="2"/>
        <v>585</v>
      </c>
      <c r="K33" s="4">
        <f t="shared" si="2"/>
        <v>585</v>
      </c>
      <c r="L33" s="4">
        <f t="shared" si="2"/>
        <v>225</v>
      </c>
      <c r="M33" s="4">
        <f t="shared" si="2"/>
        <v>720</v>
      </c>
    </row>
    <row r="34" spans="1:13" s="4" customFormat="1" ht="20.100000000000001" customHeight="1" x14ac:dyDescent="0.2">
      <c r="A34" s="34"/>
      <c r="B34" s="28"/>
      <c r="C34" s="4" t="s">
        <v>14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2</v>
      </c>
    </row>
    <row r="35" spans="1:13" s="4" customFormat="1" ht="20.100000000000001" customHeight="1" x14ac:dyDescent="0.2">
      <c r="A35" s="34"/>
      <c r="B35" s="29"/>
      <c r="C35" s="4" t="s">
        <v>15</v>
      </c>
    </row>
    <row r="36" spans="1:13" ht="20.100000000000001" customHeight="1" x14ac:dyDescent="0.2">
      <c r="A36" s="34"/>
      <c r="B36" s="1"/>
      <c r="C36" s="1"/>
      <c r="D36" s="1"/>
      <c r="E36" s="1"/>
    </row>
    <row r="37" spans="1:13" s="4" customFormat="1" ht="20.100000000000001" customHeight="1" x14ac:dyDescent="0.2">
      <c r="A37" s="34"/>
      <c r="B37" s="27" t="s">
        <v>18</v>
      </c>
      <c r="C37" s="4" t="s">
        <v>13</v>
      </c>
      <c r="D37" s="4">
        <v>2</v>
      </c>
      <c r="E37" s="4">
        <v>2</v>
      </c>
      <c r="F37" s="4">
        <v>2</v>
      </c>
      <c r="G37" s="4">
        <v>1</v>
      </c>
      <c r="H37" s="4">
        <v>2</v>
      </c>
      <c r="I37" s="4">
        <v>2</v>
      </c>
      <c r="J37" s="4">
        <v>3</v>
      </c>
      <c r="K37" s="4">
        <v>3</v>
      </c>
      <c r="L37" s="4">
        <v>2</v>
      </c>
      <c r="M37" s="4">
        <v>3</v>
      </c>
    </row>
    <row r="38" spans="1:13" s="4" customFormat="1" ht="20.100000000000001" customHeight="1" x14ac:dyDescent="0.2">
      <c r="A38" s="34"/>
      <c r="B38" s="28"/>
      <c r="C38" s="4" t="s">
        <v>7</v>
      </c>
      <c r="D38" s="4">
        <f>0.6*D28</f>
        <v>360</v>
      </c>
      <c r="E38" s="4">
        <f t="shared" ref="E38:M38" si="3">0.6*E28</f>
        <v>390</v>
      </c>
      <c r="F38" s="4">
        <f t="shared" si="3"/>
        <v>330</v>
      </c>
      <c r="G38" s="4">
        <f t="shared" si="3"/>
        <v>270</v>
      </c>
      <c r="H38" s="4">
        <f t="shared" si="3"/>
        <v>450</v>
      </c>
      <c r="I38" s="4">
        <f t="shared" si="3"/>
        <v>510</v>
      </c>
      <c r="J38" s="4">
        <f t="shared" si="3"/>
        <v>390</v>
      </c>
      <c r="K38" s="4">
        <f t="shared" si="3"/>
        <v>390</v>
      </c>
      <c r="L38" s="4">
        <f t="shared" si="3"/>
        <v>150</v>
      </c>
      <c r="M38" s="4">
        <f t="shared" si="3"/>
        <v>480</v>
      </c>
    </row>
    <row r="39" spans="1:13" s="4" customFormat="1" ht="20.100000000000001" customHeight="1" x14ac:dyDescent="0.2">
      <c r="A39" s="34"/>
      <c r="B39" s="28"/>
      <c r="C39" s="4" t="s">
        <v>14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2</v>
      </c>
    </row>
    <row r="40" spans="1:13" s="4" customFormat="1" ht="20.100000000000001" customHeight="1" x14ac:dyDescent="0.2">
      <c r="A40" s="34"/>
      <c r="B40" s="29"/>
      <c r="C40" s="4" t="s">
        <v>15</v>
      </c>
    </row>
    <row r="41" spans="1:13" ht="20.100000000000001" customHeight="1" x14ac:dyDescent="0.2">
      <c r="A41" s="34"/>
      <c r="B41" s="1"/>
      <c r="C41" s="1"/>
      <c r="D41" s="1"/>
      <c r="E41" s="1"/>
    </row>
    <row r="42" spans="1:13" s="4" customFormat="1" ht="20.100000000000001" customHeight="1" x14ac:dyDescent="0.2">
      <c r="A42" s="34"/>
      <c r="B42" s="27" t="s">
        <v>19</v>
      </c>
      <c r="C42" s="4" t="s">
        <v>7</v>
      </c>
      <c r="D42" s="4">
        <f>0.9*D28</f>
        <v>540</v>
      </c>
      <c r="E42" s="4">
        <f t="shared" ref="E42:M42" si="4">0.9*E28</f>
        <v>585</v>
      </c>
      <c r="F42" s="4">
        <f t="shared" si="4"/>
        <v>495</v>
      </c>
      <c r="G42" s="4">
        <f t="shared" si="4"/>
        <v>405</v>
      </c>
      <c r="H42" s="4">
        <f t="shared" si="4"/>
        <v>675</v>
      </c>
      <c r="I42" s="4">
        <f t="shared" si="4"/>
        <v>765</v>
      </c>
      <c r="J42" s="4">
        <f t="shared" si="4"/>
        <v>585</v>
      </c>
      <c r="K42" s="4">
        <f t="shared" si="4"/>
        <v>585</v>
      </c>
      <c r="L42" s="4">
        <f t="shared" si="4"/>
        <v>225</v>
      </c>
      <c r="M42" s="4">
        <f t="shared" si="4"/>
        <v>720</v>
      </c>
    </row>
    <row r="43" spans="1:13" s="4" customFormat="1" ht="20.100000000000001" customHeight="1" x14ac:dyDescent="0.2">
      <c r="A43" s="34"/>
      <c r="B43" s="28"/>
      <c r="C43" s="4" t="s">
        <v>14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2</v>
      </c>
    </row>
    <row r="44" spans="1:13" s="4" customFormat="1" ht="20.100000000000001" customHeight="1" x14ac:dyDescent="0.2">
      <c r="A44" s="34"/>
      <c r="B44" s="29"/>
      <c r="C44" s="4" t="s">
        <v>15</v>
      </c>
    </row>
    <row r="45" spans="1:13" ht="20.100000000000001" customHeight="1" x14ac:dyDescent="0.2">
      <c r="A45" s="34"/>
    </row>
    <row r="46" spans="1:13" s="4" customFormat="1" ht="20.100000000000001" customHeight="1" x14ac:dyDescent="0.2">
      <c r="A46" s="34"/>
      <c r="B46" s="27" t="s">
        <v>30</v>
      </c>
      <c r="C46" s="4">
        <v>1</v>
      </c>
    </row>
    <row r="47" spans="1:13" s="4" customFormat="1" ht="20.100000000000001" customHeight="1" x14ac:dyDescent="0.2">
      <c r="A47" s="34"/>
      <c r="B47" s="28"/>
      <c r="C47" s="4">
        <v>2</v>
      </c>
    </row>
    <row r="48" spans="1:13" s="4" customFormat="1" ht="20.100000000000001" customHeight="1" x14ac:dyDescent="0.2">
      <c r="A48" s="34"/>
      <c r="B48" s="29"/>
      <c r="C48" s="4">
        <v>3</v>
      </c>
    </row>
    <row r="49" spans="1:13" ht="20.100000000000001" customHeight="1" x14ac:dyDescent="0.2">
      <c r="A49" s="34"/>
      <c r="B49" s="7"/>
      <c r="C49" s="7"/>
      <c r="D49" s="7"/>
      <c r="E49" s="7"/>
    </row>
    <row r="50" spans="1:13" s="4" customFormat="1" ht="20.100000000000001" customHeight="1" x14ac:dyDescent="0.2">
      <c r="A50" s="34"/>
      <c r="B50" s="27" t="s">
        <v>28</v>
      </c>
      <c r="C50" s="4" t="s">
        <v>29</v>
      </c>
      <c r="D50" s="4">
        <f>D22+D27+D32+D37</f>
        <v>10</v>
      </c>
      <c r="E50" s="4">
        <f>E22+E27+E32+E37</f>
        <v>11</v>
      </c>
      <c r="F50" s="4">
        <f t="shared" ref="F50:M50" si="5">F22+F27+F32+F37</f>
        <v>10</v>
      </c>
      <c r="G50" s="4">
        <f t="shared" si="5"/>
        <v>8</v>
      </c>
      <c r="H50" s="4">
        <f t="shared" si="5"/>
        <v>11</v>
      </c>
      <c r="I50" s="4">
        <f t="shared" si="5"/>
        <v>13</v>
      </c>
      <c r="J50" s="4">
        <f>J22+J27+J32+J37</f>
        <v>15</v>
      </c>
      <c r="K50" s="4">
        <f t="shared" si="5"/>
        <v>15</v>
      </c>
      <c r="L50" s="4">
        <f t="shared" si="5"/>
        <v>15</v>
      </c>
      <c r="M50" s="4">
        <f t="shared" si="5"/>
        <v>17</v>
      </c>
    </row>
    <row r="51" spans="1:13" s="4" customFormat="1" ht="20.100000000000001" customHeight="1" x14ac:dyDescent="0.2">
      <c r="A51" s="34"/>
      <c r="B51" s="28"/>
      <c r="C51" s="4" t="s">
        <v>129</v>
      </c>
      <c r="D51" s="4">
        <f>D24+D29+D34+D39+D43</f>
        <v>5</v>
      </c>
      <c r="E51" s="4">
        <f>E24+E29+E34+E39+E43</f>
        <v>5</v>
      </c>
      <c r="F51" s="4">
        <f t="shared" ref="F51:M51" si="6">F24+F29+F34+F39+F43</f>
        <v>5</v>
      </c>
      <c r="G51" s="4">
        <f t="shared" si="6"/>
        <v>5</v>
      </c>
      <c r="H51" s="4">
        <f t="shared" si="6"/>
        <v>5</v>
      </c>
      <c r="I51" s="4">
        <f t="shared" si="6"/>
        <v>5</v>
      </c>
      <c r="J51" s="4">
        <f>J24+J29+J34+J39+J43</f>
        <v>5</v>
      </c>
      <c r="K51" s="4">
        <f t="shared" si="6"/>
        <v>5</v>
      </c>
      <c r="L51" s="4">
        <f t="shared" si="6"/>
        <v>5</v>
      </c>
      <c r="M51" s="4">
        <f t="shared" si="6"/>
        <v>10</v>
      </c>
    </row>
    <row r="52" spans="1:13" s="4" customFormat="1" ht="20.100000000000001" customHeight="1" x14ac:dyDescent="0.2">
      <c r="A52" s="34"/>
      <c r="B52" s="29"/>
      <c r="C52" s="4" t="s">
        <v>130</v>
      </c>
      <c r="D52" s="4">
        <f>D50*(1+D51*0.02)</f>
        <v>11</v>
      </c>
      <c r="E52" s="4">
        <f>E50*(1+E51*0.02)</f>
        <v>12.100000000000001</v>
      </c>
      <c r="F52" s="4">
        <f t="shared" ref="F52:M52" si="7">F50*(1+F51*0.02)</f>
        <v>11</v>
      </c>
      <c r="G52" s="4">
        <f t="shared" si="7"/>
        <v>8.8000000000000007</v>
      </c>
      <c r="H52" s="4">
        <f t="shared" si="7"/>
        <v>12.100000000000001</v>
      </c>
      <c r="I52" s="4">
        <f t="shared" si="7"/>
        <v>14.3</v>
      </c>
      <c r="J52" s="4">
        <f>J50*(1+J51*0.02)</f>
        <v>16.5</v>
      </c>
      <c r="K52" s="4">
        <f t="shared" si="7"/>
        <v>16.5</v>
      </c>
      <c r="L52" s="4">
        <f t="shared" si="7"/>
        <v>16.5</v>
      </c>
      <c r="M52" s="4">
        <f t="shared" si="7"/>
        <v>20.399999999999999</v>
      </c>
    </row>
    <row r="53" spans="1:13" ht="20.100000000000001" customHeight="1" x14ac:dyDescent="0.2">
      <c r="B53" s="8"/>
      <c r="C53" s="8"/>
      <c r="D53" s="8"/>
      <c r="E53" s="8"/>
    </row>
    <row r="54" spans="1:13" s="5" customFormat="1" ht="20.100000000000001" customHeight="1" x14ac:dyDescent="0.2">
      <c r="A54" s="19" t="s">
        <v>136</v>
      </c>
      <c r="B54" s="19" t="s">
        <v>20</v>
      </c>
      <c r="C54" s="5" t="s">
        <v>21</v>
      </c>
    </row>
    <row r="55" spans="1:13" s="5" customFormat="1" ht="20.100000000000001" customHeight="1" x14ac:dyDescent="0.2">
      <c r="A55" s="19"/>
      <c r="B55" s="19"/>
      <c r="C55" s="5" t="s">
        <v>7</v>
      </c>
    </row>
    <row r="56" spans="1:13" s="5" customFormat="1" ht="20.100000000000001" customHeight="1" x14ac:dyDescent="0.2">
      <c r="A56" s="19"/>
      <c r="B56" s="19"/>
      <c r="C56" s="5" t="s">
        <v>22</v>
      </c>
    </row>
    <row r="57" spans="1:13" s="5" customFormat="1" ht="20.100000000000001" customHeight="1" x14ac:dyDescent="0.2">
      <c r="A57" s="19"/>
      <c r="B57" s="19"/>
      <c r="C57" s="5" t="s">
        <v>23</v>
      </c>
    </row>
    <row r="58" spans="1:13" s="5" customFormat="1" ht="20.100000000000001" customHeight="1" x14ac:dyDescent="0.2">
      <c r="A58" s="19"/>
      <c r="B58" s="19" t="s">
        <v>30</v>
      </c>
      <c r="C58" s="5">
        <v>1</v>
      </c>
    </row>
    <row r="59" spans="1:13" s="5" customFormat="1" ht="20.100000000000001" customHeight="1" x14ac:dyDescent="0.2">
      <c r="A59" s="19"/>
      <c r="B59" s="22"/>
      <c r="C59" s="5">
        <v>2</v>
      </c>
    </row>
    <row r="60" spans="1:13" s="5" customFormat="1" ht="20.100000000000001" customHeight="1" x14ac:dyDescent="0.2">
      <c r="A60" s="19"/>
      <c r="B60" s="23"/>
      <c r="C60" s="5">
        <v>3</v>
      </c>
    </row>
    <row r="61" spans="1:13" ht="20.100000000000001" customHeight="1" x14ac:dyDescent="0.2">
      <c r="A61" s="19"/>
      <c r="B61" s="9"/>
      <c r="C61" s="9"/>
      <c r="D61" s="9"/>
      <c r="E61" s="9"/>
    </row>
    <row r="62" spans="1:13" s="5" customFormat="1" ht="20.100000000000001" customHeight="1" x14ac:dyDescent="0.2">
      <c r="A62" s="19"/>
      <c r="B62" s="19" t="s">
        <v>25</v>
      </c>
      <c r="C62" s="5" t="s">
        <v>2</v>
      </c>
    </row>
    <row r="63" spans="1:13" s="5" customFormat="1" ht="20.100000000000001" customHeight="1" x14ac:dyDescent="0.2">
      <c r="A63" s="19"/>
      <c r="B63" s="22"/>
      <c r="C63" s="5" t="s">
        <v>23</v>
      </c>
    </row>
    <row r="64" spans="1:13" s="5" customFormat="1" ht="20.100000000000001" customHeight="1" x14ac:dyDescent="0.2">
      <c r="A64" s="19"/>
      <c r="B64" s="23"/>
      <c r="C64" s="5" t="s">
        <v>6</v>
      </c>
    </row>
    <row r="67" spans="1:13" s="6" customFormat="1" ht="20.100000000000001" customHeight="1" x14ac:dyDescent="0.2">
      <c r="A67" s="30" t="s">
        <v>26</v>
      </c>
      <c r="B67" s="6" t="s">
        <v>10</v>
      </c>
      <c r="C67" s="6" t="s">
        <v>11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0</v>
      </c>
      <c r="M67" s="6">
        <v>1</v>
      </c>
    </row>
    <row r="68" spans="1:13" s="4" customFormat="1" ht="20.100000000000001" customHeight="1" x14ac:dyDescent="0.2">
      <c r="A68" s="31"/>
      <c r="B68" s="4" t="s">
        <v>132</v>
      </c>
      <c r="C68" s="4" t="s">
        <v>135</v>
      </c>
      <c r="D68" s="4">
        <v>1</v>
      </c>
      <c r="E68" s="4">
        <v>1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0</v>
      </c>
      <c r="M68" s="4">
        <v>1</v>
      </c>
    </row>
    <row r="69" spans="1:13" s="4" customFormat="1" ht="20.100000000000001" customHeight="1" x14ac:dyDescent="0.2">
      <c r="A69" s="31"/>
      <c r="B69" s="4" t="s">
        <v>133</v>
      </c>
      <c r="C69" s="4" t="s">
        <v>135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0</v>
      </c>
      <c r="M69" s="4">
        <v>1</v>
      </c>
    </row>
    <row r="70" spans="1:13" s="5" customFormat="1" ht="20.100000000000001" customHeight="1" x14ac:dyDescent="0.2">
      <c r="A70" s="32"/>
      <c r="B70" s="5" t="s">
        <v>134</v>
      </c>
      <c r="C70" s="5" t="s">
        <v>135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0</v>
      </c>
      <c r="M70" s="5">
        <v>0</v>
      </c>
    </row>
  </sheetData>
  <mergeCells count="17">
    <mergeCell ref="A67:A70"/>
    <mergeCell ref="B46:B48"/>
    <mergeCell ref="A22:A52"/>
    <mergeCell ref="B13:B15"/>
    <mergeCell ref="A54:A64"/>
    <mergeCell ref="A9:A20"/>
    <mergeCell ref="B9:B12"/>
    <mergeCell ref="B22:B25"/>
    <mergeCell ref="B27:B30"/>
    <mergeCell ref="B58:B60"/>
    <mergeCell ref="B54:B57"/>
    <mergeCell ref="B17:B20"/>
    <mergeCell ref="B62:B64"/>
    <mergeCell ref="B32:B35"/>
    <mergeCell ref="B37:B40"/>
    <mergeCell ref="B42:B44"/>
    <mergeCell ref="B50:B5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D55C-7A05-4B85-B3F0-CE35E1F4B422}">
  <dimension ref="A1:Q69"/>
  <sheetViews>
    <sheetView workbookViewId="0">
      <pane xSplit="3" topLeftCell="L1" activePane="topRight" state="frozen"/>
      <selection pane="topRight" activeCell="G8" sqref="G8"/>
    </sheetView>
  </sheetViews>
  <sheetFormatPr defaultColWidth="16.625" defaultRowHeight="20.100000000000001" customHeight="1" x14ac:dyDescent="0.2"/>
  <cols>
    <col min="1" max="3" width="16.625" style="2"/>
  </cols>
  <sheetData>
    <row r="1" spans="1:17" ht="20.100000000000001" customHeight="1" x14ac:dyDescent="0.2">
      <c r="D1" s="2"/>
      <c r="E1" s="2"/>
    </row>
    <row r="2" spans="1:17" ht="20.100000000000001" customHeight="1" x14ac:dyDescent="0.2">
      <c r="D2" s="2"/>
      <c r="E2" s="2"/>
    </row>
    <row r="3" spans="1:17" ht="20.100000000000001" customHeight="1" x14ac:dyDescent="0.2">
      <c r="D3" s="2" t="s">
        <v>0</v>
      </c>
      <c r="E3" s="2"/>
    </row>
    <row r="4" spans="1:17" s="11" customFormat="1" ht="20.100000000000001" customHeight="1" x14ac:dyDescent="0.2">
      <c r="A4" s="1"/>
      <c r="B4" s="1"/>
      <c r="C4" s="1"/>
      <c r="D4" s="1" t="s">
        <v>41</v>
      </c>
      <c r="E4" s="1" t="s">
        <v>42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" t="s">
        <v>161</v>
      </c>
      <c r="Q4" s="1" t="s">
        <v>53</v>
      </c>
    </row>
    <row r="5" spans="1:17" s="1" customFormat="1" ht="20.100000000000001" customHeight="1" x14ac:dyDescent="0.2">
      <c r="C5" s="1" t="s">
        <v>139</v>
      </c>
      <c r="D5" s="16" t="s">
        <v>163</v>
      </c>
      <c r="E5" s="16" t="s">
        <v>165</v>
      </c>
      <c r="F5" s="1" t="s">
        <v>167</v>
      </c>
      <c r="G5" s="1" t="s">
        <v>168</v>
      </c>
      <c r="H5" s="1" t="s">
        <v>169</v>
      </c>
      <c r="I5" s="1" t="s">
        <v>170</v>
      </c>
      <c r="J5" s="1" t="s">
        <v>152</v>
      </c>
      <c r="K5" s="1" t="s">
        <v>154</v>
      </c>
      <c r="L5" s="1" t="s">
        <v>155</v>
      </c>
      <c r="M5" s="1" t="s">
        <v>157</v>
      </c>
      <c r="N5" s="1" t="s">
        <v>158</v>
      </c>
      <c r="O5" s="1" t="s">
        <v>159</v>
      </c>
      <c r="P5" s="1" t="s">
        <v>160</v>
      </c>
      <c r="Q5" s="1" t="s">
        <v>162</v>
      </c>
    </row>
    <row r="6" spans="1:17" s="1" customFormat="1" ht="20.100000000000001" customHeight="1" x14ac:dyDescent="0.2">
      <c r="C6" s="1" t="s">
        <v>147</v>
      </c>
      <c r="D6" s="1" t="s">
        <v>164</v>
      </c>
      <c r="E6" s="1" t="s">
        <v>166</v>
      </c>
      <c r="F6" s="1" t="s">
        <v>156</v>
      </c>
      <c r="G6" s="1" t="s">
        <v>156</v>
      </c>
      <c r="H6" s="1" t="s">
        <v>156</v>
      </c>
      <c r="I6" s="1" t="s">
        <v>156</v>
      </c>
      <c r="J6" s="1" t="s">
        <v>153</v>
      </c>
      <c r="K6" s="1" t="s">
        <v>156</v>
      </c>
      <c r="L6" s="1" t="s">
        <v>156</v>
      </c>
      <c r="M6" s="1" t="s">
        <v>156</v>
      </c>
      <c r="N6" s="1" t="s">
        <v>156</v>
      </c>
      <c r="O6" s="1" t="s">
        <v>156</v>
      </c>
      <c r="P6" s="1" t="s">
        <v>156</v>
      </c>
      <c r="Q6" s="1" t="s">
        <v>156</v>
      </c>
    </row>
    <row r="7" spans="1:17" s="11" customFormat="1" ht="20.100000000000001" customHeight="1" x14ac:dyDescent="0.2">
      <c r="A7" s="1"/>
      <c r="B7" s="1"/>
      <c r="C7" s="1" t="s">
        <v>124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</row>
    <row r="8" spans="1:17" s="11" customFormat="1" ht="20.100000000000001" customHeight="1" x14ac:dyDescent="0.2">
      <c r="A8" s="1"/>
      <c r="B8" s="1"/>
      <c r="C8" s="1" t="s">
        <v>125</v>
      </c>
      <c r="D8" s="1">
        <v>1</v>
      </c>
      <c r="E8" s="1">
        <v>1</v>
      </c>
      <c r="F8" s="1">
        <v>1</v>
      </c>
      <c r="G8" s="1">
        <v>1</v>
      </c>
      <c r="H8" s="1">
        <v>2</v>
      </c>
      <c r="I8" s="1">
        <v>2</v>
      </c>
      <c r="J8" s="1">
        <v>2</v>
      </c>
      <c r="K8" s="1">
        <v>3</v>
      </c>
      <c r="L8" s="1">
        <v>3</v>
      </c>
      <c r="M8" s="1" t="s">
        <v>128</v>
      </c>
      <c r="N8" s="1">
        <v>3</v>
      </c>
      <c r="O8" s="1">
        <v>4</v>
      </c>
      <c r="P8" s="1">
        <v>4</v>
      </c>
      <c r="Q8" s="1">
        <v>4</v>
      </c>
    </row>
    <row r="9" spans="1:17" s="3" customFormat="1" ht="20.100000000000001" customHeight="1" x14ac:dyDescent="0.2">
      <c r="A9" s="20" t="s">
        <v>137</v>
      </c>
      <c r="B9" s="18" t="s">
        <v>24</v>
      </c>
      <c r="C9" s="3" t="s">
        <v>6</v>
      </c>
      <c r="D9" s="3">
        <v>17</v>
      </c>
      <c r="E9" s="3">
        <v>18</v>
      </c>
      <c r="F9" s="3">
        <v>13</v>
      </c>
      <c r="G9" s="3">
        <v>14</v>
      </c>
      <c r="H9" s="3">
        <v>20</v>
      </c>
      <c r="I9" s="3">
        <v>19</v>
      </c>
      <c r="J9" s="3">
        <v>21</v>
      </c>
      <c r="K9" s="3">
        <v>23</v>
      </c>
      <c r="L9" s="3">
        <v>23</v>
      </c>
      <c r="M9" s="3">
        <v>27</v>
      </c>
      <c r="N9" s="3">
        <v>25</v>
      </c>
      <c r="O9" s="3">
        <v>28</v>
      </c>
      <c r="P9" s="3">
        <v>32</v>
      </c>
      <c r="Q9" s="3">
        <v>26</v>
      </c>
    </row>
    <row r="10" spans="1:17" s="3" customFormat="1" ht="20.100000000000001" customHeight="1" x14ac:dyDescent="0.2">
      <c r="A10" s="20"/>
      <c r="B10" s="18"/>
      <c r="C10" s="3" t="s">
        <v>7</v>
      </c>
      <c r="D10" s="3">
        <v>200</v>
      </c>
      <c r="E10" s="3">
        <v>250</v>
      </c>
      <c r="F10" s="3">
        <v>250</v>
      </c>
      <c r="G10" s="3">
        <v>200</v>
      </c>
      <c r="H10" s="3">
        <v>500</v>
      </c>
      <c r="I10" s="3">
        <v>300</v>
      </c>
      <c r="J10" s="3">
        <v>450</v>
      </c>
      <c r="K10" s="3">
        <v>600</v>
      </c>
      <c r="L10" s="3">
        <v>400</v>
      </c>
      <c r="M10" s="3">
        <v>900</v>
      </c>
      <c r="N10" s="3">
        <v>800</v>
      </c>
      <c r="O10" s="3">
        <v>800</v>
      </c>
      <c r="P10" s="3">
        <v>1000</v>
      </c>
      <c r="Q10" s="3">
        <v>700</v>
      </c>
    </row>
    <row r="11" spans="1:17" s="3" customFormat="1" ht="20.100000000000001" customHeight="1" x14ac:dyDescent="0.2">
      <c r="A11" s="20"/>
      <c r="B11" s="18"/>
      <c r="C11" s="3" t="s">
        <v>8</v>
      </c>
      <c r="D11" s="3">
        <v>6</v>
      </c>
      <c r="E11" s="3">
        <v>6</v>
      </c>
      <c r="F11" s="3">
        <v>6</v>
      </c>
      <c r="G11" s="3">
        <v>6</v>
      </c>
      <c r="H11" s="3">
        <v>8</v>
      </c>
      <c r="I11" s="3">
        <v>8</v>
      </c>
      <c r="J11" s="3">
        <v>8</v>
      </c>
      <c r="K11" s="3">
        <v>9</v>
      </c>
      <c r="L11" s="3">
        <v>8</v>
      </c>
      <c r="M11" s="3">
        <v>10</v>
      </c>
      <c r="N11" s="3">
        <v>9</v>
      </c>
      <c r="O11" s="3">
        <v>10</v>
      </c>
      <c r="P11" s="3">
        <v>8</v>
      </c>
      <c r="Q11" s="3">
        <v>11</v>
      </c>
    </row>
    <row r="12" spans="1:17" s="3" customFormat="1" ht="20.100000000000001" customHeight="1" x14ac:dyDescent="0.2">
      <c r="A12" s="20"/>
      <c r="B12" s="18"/>
      <c r="C12" s="3" t="s">
        <v>9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138</v>
      </c>
      <c r="N12" s="3" t="s">
        <v>138</v>
      </c>
      <c r="O12" s="3" t="s">
        <v>138</v>
      </c>
      <c r="P12" s="3" t="s">
        <v>138</v>
      </c>
      <c r="Q12" s="3" t="s">
        <v>138</v>
      </c>
    </row>
    <row r="13" spans="1:17" s="3" customFormat="1" ht="20.100000000000001" customHeight="1" x14ac:dyDescent="0.2">
      <c r="A13" s="20"/>
      <c r="B13" s="18" t="s">
        <v>30</v>
      </c>
      <c r="C13" s="3">
        <v>1</v>
      </c>
    </row>
    <row r="14" spans="1:17" s="3" customFormat="1" ht="20.100000000000001" customHeight="1" x14ac:dyDescent="0.2">
      <c r="A14" s="20"/>
      <c r="B14" s="18"/>
      <c r="C14" s="3">
        <v>2</v>
      </c>
    </row>
    <row r="15" spans="1:17" s="3" customFormat="1" ht="20.100000000000001" customHeight="1" x14ac:dyDescent="0.2">
      <c r="A15" s="20"/>
      <c r="B15" s="18"/>
      <c r="C15" s="3">
        <v>3</v>
      </c>
    </row>
    <row r="16" spans="1:17" s="2" customFormat="1" ht="20.100000000000001" customHeight="1" x14ac:dyDescent="0.2">
      <c r="A16" s="20"/>
    </row>
    <row r="17" spans="1:17" s="3" customFormat="1" ht="20.100000000000001" customHeight="1" x14ac:dyDescent="0.2">
      <c r="A17" s="20"/>
      <c r="B17" s="24" t="s">
        <v>1</v>
      </c>
      <c r="C17" s="3" t="s">
        <v>2</v>
      </c>
      <c r="D17" s="3">
        <v>0.1</v>
      </c>
      <c r="E17" s="3">
        <v>-0.3</v>
      </c>
      <c r="F17" s="3">
        <v>0</v>
      </c>
      <c r="G17" s="3">
        <v>0.1</v>
      </c>
      <c r="H17" s="3">
        <v>0.1</v>
      </c>
      <c r="I17" s="3">
        <v>0</v>
      </c>
      <c r="J17" s="3">
        <v>-0.2</v>
      </c>
      <c r="K17" s="3">
        <v>0.2</v>
      </c>
      <c r="L17" s="3">
        <v>0.2</v>
      </c>
      <c r="M17" s="3">
        <v>0.3</v>
      </c>
      <c r="N17" s="3">
        <v>0.2</v>
      </c>
      <c r="O17" s="3">
        <v>0.3</v>
      </c>
      <c r="P17" s="3">
        <v>0.4</v>
      </c>
      <c r="Q17" s="3">
        <v>0.1</v>
      </c>
    </row>
    <row r="18" spans="1:17" s="3" customFormat="1" ht="20.100000000000001" customHeight="1" x14ac:dyDescent="0.2">
      <c r="A18" s="20"/>
      <c r="B18" s="25"/>
      <c r="C18" s="3" t="s">
        <v>3</v>
      </c>
      <c r="D18" s="3">
        <v>0.1</v>
      </c>
      <c r="E18" s="3">
        <v>0.3</v>
      </c>
      <c r="F18" s="3">
        <v>0.15</v>
      </c>
      <c r="G18" s="3">
        <v>0.2</v>
      </c>
      <c r="H18" s="3">
        <v>0.2</v>
      </c>
      <c r="I18" s="3">
        <v>0.2</v>
      </c>
      <c r="J18" s="3">
        <v>0.3</v>
      </c>
      <c r="K18" s="3">
        <v>0.3</v>
      </c>
      <c r="L18" s="3">
        <v>0</v>
      </c>
      <c r="M18" s="3">
        <v>0.35</v>
      </c>
      <c r="N18" s="3">
        <v>0.25</v>
      </c>
      <c r="O18" s="3">
        <v>0.35</v>
      </c>
      <c r="P18" s="3">
        <v>0.35</v>
      </c>
      <c r="Q18" s="3">
        <v>0.25</v>
      </c>
    </row>
    <row r="19" spans="1:17" s="3" customFormat="1" ht="20.100000000000001" customHeight="1" x14ac:dyDescent="0.2">
      <c r="A19" s="20"/>
      <c r="B19" s="25"/>
      <c r="C19" s="3" t="s">
        <v>4</v>
      </c>
      <c r="D19" s="3">
        <v>0</v>
      </c>
      <c r="E19" s="3">
        <v>0.1</v>
      </c>
      <c r="F19" s="3">
        <v>0.2</v>
      </c>
      <c r="G19" s="3">
        <v>0</v>
      </c>
      <c r="H19" s="3">
        <v>0.1</v>
      </c>
      <c r="I19" s="3">
        <v>0</v>
      </c>
      <c r="J19" s="3">
        <v>0.05</v>
      </c>
      <c r="K19" s="3">
        <v>0.05</v>
      </c>
      <c r="L19" s="3">
        <v>-0.2</v>
      </c>
      <c r="M19" s="3">
        <v>0</v>
      </c>
      <c r="N19" s="3">
        <v>0.1</v>
      </c>
      <c r="O19" s="3">
        <v>0.05</v>
      </c>
      <c r="P19" s="3">
        <v>0</v>
      </c>
      <c r="Q19" s="3">
        <v>0.25</v>
      </c>
    </row>
    <row r="20" spans="1:17" s="3" customFormat="1" ht="20.100000000000001" customHeight="1" x14ac:dyDescent="0.2">
      <c r="A20" s="20"/>
      <c r="B20" s="26"/>
      <c r="C20" s="3" t="s">
        <v>5</v>
      </c>
      <c r="D20" s="3">
        <v>0</v>
      </c>
      <c r="E20" s="3">
        <v>0.2</v>
      </c>
      <c r="F20" s="3">
        <v>0</v>
      </c>
      <c r="G20" s="3">
        <v>0.3</v>
      </c>
      <c r="H20" s="3">
        <v>0.15</v>
      </c>
      <c r="I20" s="3">
        <v>0.3</v>
      </c>
      <c r="J20" s="3">
        <v>0.1</v>
      </c>
      <c r="K20" s="3">
        <v>0.2</v>
      </c>
      <c r="L20" s="3">
        <v>0.4</v>
      </c>
      <c r="M20" s="3">
        <v>0.2</v>
      </c>
      <c r="N20" s="3">
        <v>0</v>
      </c>
      <c r="O20" s="3">
        <v>0.3</v>
      </c>
      <c r="P20" s="3">
        <v>0</v>
      </c>
      <c r="Q20" s="3">
        <v>0.35</v>
      </c>
    </row>
    <row r="21" spans="1:17" s="2" customFormat="1" ht="20.100000000000001" customHeight="1" x14ac:dyDescent="0.2">
      <c r="B21" s="10"/>
      <c r="C21" s="10"/>
      <c r="D21" s="10"/>
      <c r="E21" s="10"/>
    </row>
    <row r="22" spans="1:17" s="4" customFormat="1" ht="20.100000000000001" customHeight="1" x14ac:dyDescent="0.2">
      <c r="A22" s="21" t="s">
        <v>131</v>
      </c>
      <c r="B22" s="39" t="s">
        <v>12</v>
      </c>
      <c r="C22" s="4" t="s">
        <v>13</v>
      </c>
      <c r="D22" s="4">
        <v>3</v>
      </c>
      <c r="E22" s="4">
        <v>3</v>
      </c>
      <c r="F22" s="4">
        <v>4</v>
      </c>
      <c r="G22" s="4">
        <v>3</v>
      </c>
      <c r="H22" s="4">
        <v>4</v>
      </c>
      <c r="I22" s="4">
        <v>4</v>
      </c>
      <c r="J22" s="4">
        <v>3</v>
      </c>
      <c r="K22" s="4">
        <v>4</v>
      </c>
      <c r="L22" s="4">
        <v>4</v>
      </c>
      <c r="M22" s="4">
        <v>5</v>
      </c>
      <c r="N22" s="4">
        <v>4</v>
      </c>
      <c r="O22" s="4">
        <v>5</v>
      </c>
      <c r="P22" s="4">
        <v>5</v>
      </c>
      <c r="Q22" s="4">
        <v>5</v>
      </c>
    </row>
    <row r="23" spans="1:17" s="4" customFormat="1" ht="20.100000000000001" customHeight="1" x14ac:dyDescent="0.2">
      <c r="A23" s="21"/>
      <c r="B23" s="39"/>
      <c r="C23" s="4" t="s">
        <v>7</v>
      </c>
      <c r="D23" s="4">
        <f>0.7*D28</f>
        <v>140</v>
      </c>
      <c r="E23" s="4">
        <f t="shared" ref="E23:Q23" si="0">0.7*E28</f>
        <v>175</v>
      </c>
      <c r="F23" s="4">
        <f t="shared" si="0"/>
        <v>175</v>
      </c>
      <c r="G23" s="4">
        <f t="shared" si="0"/>
        <v>140</v>
      </c>
      <c r="H23" s="4">
        <f t="shared" si="0"/>
        <v>350</v>
      </c>
      <c r="I23" s="4">
        <f t="shared" si="0"/>
        <v>210</v>
      </c>
      <c r="J23" s="4">
        <f t="shared" si="0"/>
        <v>315</v>
      </c>
      <c r="K23" s="4">
        <f t="shared" si="0"/>
        <v>420</v>
      </c>
      <c r="L23" s="4">
        <f t="shared" si="0"/>
        <v>280</v>
      </c>
      <c r="M23" s="4">
        <f t="shared" si="0"/>
        <v>630</v>
      </c>
      <c r="N23" s="4">
        <f t="shared" si="0"/>
        <v>560</v>
      </c>
      <c r="O23" s="4">
        <f t="shared" si="0"/>
        <v>560</v>
      </c>
      <c r="P23" s="4">
        <f t="shared" si="0"/>
        <v>700</v>
      </c>
      <c r="Q23" s="4">
        <f t="shared" si="0"/>
        <v>489.99999999999994</v>
      </c>
    </row>
    <row r="24" spans="1:17" s="4" customFormat="1" ht="20.100000000000001" customHeight="1" x14ac:dyDescent="0.2">
      <c r="A24" s="21"/>
      <c r="B24" s="39"/>
      <c r="C24" s="4" t="s">
        <v>14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2</v>
      </c>
      <c r="J24" s="4">
        <v>1</v>
      </c>
      <c r="K24" s="4">
        <v>2</v>
      </c>
      <c r="L24" s="4">
        <v>2</v>
      </c>
      <c r="M24" s="4">
        <v>2</v>
      </c>
      <c r="N24" s="4">
        <v>2</v>
      </c>
      <c r="O24" s="4">
        <v>2</v>
      </c>
      <c r="P24" s="4">
        <v>2</v>
      </c>
      <c r="Q24" s="4">
        <v>2</v>
      </c>
    </row>
    <row r="25" spans="1:17" s="4" customFormat="1" ht="20.100000000000001" customHeight="1" x14ac:dyDescent="0.2">
      <c r="A25" s="21"/>
      <c r="B25" s="39"/>
      <c r="C25" s="4" t="s">
        <v>15</v>
      </c>
      <c r="J25" s="4">
        <v>0.05</v>
      </c>
      <c r="K25" s="4">
        <v>0.05</v>
      </c>
      <c r="L25" s="4">
        <v>0.05</v>
      </c>
      <c r="M25" s="4">
        <v>0.05</v>
      </c>
      <c r="N25" s="4">
        <v>0.05</v>
      </c>
      <c r="O25" s="4">
        <v>0.05</v>
      </c>
      <c r="P25" s="4">
        <v>0.05</v>
      </c>
      <c r="Q25" s="4">
        <v>0.05</v>
      </c>
    </row>
    <row r="26" spans="1:17" s="2" customFormat="1" ht="20.100000000000001" customHeight="1" x14ac:dyDescent="0.2">
      <c r="A26" s="21"/>
      <c r="B26" s="12"/>
      <c r="C26" s="10"/>
      <c r="D26" s="10"/>
      <c r="E26" s="10"/>
    </row>
    <row r="27" spans="1:17" s="4" customFormat="1" ht="20.100000000000001" customHeight="1" x14ac:dyDescent="0.2">
      <c r="A27" s="21"/>
      <c r="B27" s="39" t="s">
        <v>16</v>
      </c>
      <c r="C27" s="4" t="s">
        <v>13</v>
      </c>
      <c r="D27" s="4">
        <v>4</v>
      </c>
      <c r="E27" s="4">
        <v>4</v>
      </c>
      <c r="F27" s="4">
        <v>4</v>
      </c>
      <c r="G27" s="4">
        <v>4</v>
      </c>
      <c r="H27" s="4">
        <v>6</v>
      </c>
      <c r="I27" s="4">
        <v>5</v>
      </c>
      <c r="J27" s="4">
        <v>6</v>
      </c>
      <c r="K27" s="4">
        <v>6</v>
      </c>
      <c r="L27" s="4">
        <v>6</v>
      </c>
      <c r="M27" s="4">
        <v>7</v>
      </c>
      <c r="N27" s="4">
        <v>6</v>
      </c>
      <c r="O27" s="4">
        <v>7</v>
      </c>
      <c r="P27" s="4">
        <v>8</v>
      </c>
      <c r="Q27" s="4">
        <v>7</v>
      </c>
    </row>
    <row r="28" spans="1:17" s="4" customFormat="1" ht="20.100000000000001" customHeight="1" x14ac:dyDescent="0.2">
      <c r="A28" s="21"/>
      <c r="B28" s="39"/>
      <c r="C28" s="4" t="s">
        <v>7</v>
      </c>
      <c r="D28" s="4">
        <f t="shared" ref="D28:Q28" si="1">D10</f>
        <v>200</v>
      </c>
      <c r="E28" s="4">
        <f t="shared" si="1"/>
        <v>250</v>
      </c>
      <c r="F28" s="4">
        <f t="shared" si="1"/>
        <v>250</v>
      </c>
      <c r="G28" s="4">
        <f t="shared" si="1"/>
        <v>200</v>
      </c>
      <c r="H28" s="4">
        <f t="shared" si="1"/>
        <v>500</v>
      </c>
      <c r="I28" s="4">
        <f t="shared" si="1"/>
        <v>300</v>
      </c>
      <c r="J28" s="4">
        <f t="shared" si="1"/>
        <v>450</v>
      </c>
      <c r="K28" s="4">
        <f t="shared" si="1"/>
        <v>600</v>
      </c>
      <c r="L28" s="4">
        <f t="shared" si="1"/>
        <v>400</v>
      </c>
      <c r="M28" s="4">
        <f t="shared" si="1"/>
        <v>900</v>
      </c>
      <c r="N28" s="4">
        <f t="shared" si="1"/>
        <v>800</v>
      </c>
      <c r="O28" s="4">
        <f t="shared" si="1"/>
        <v>800</v>
      </c>
      <c r="P28" s="4">
        <f t="shared" si="1"/>
        <v>1000</v>
      </c>
      <c r="Q28" s="4">
        <f t="shared" si="1"/>
        <v>700</v>
      </c>
    </row>
    <row r="29" spans="1:17" s="4" customFormat="1" ht="20.100000000000001" customHeight="1" x14ac:dyDescent="0.2">
      <c r="A29" s="21"/>
      <c r="B29" s="39"/>
      <c r="C29" s="4" t="s">
        <v>14</v>
      </c>
      <c r="D29" s="4">
        <v>1</v>
      </c>
      <c r="E29" s="4">
        <v>1</v>
      </c>
      <c r="F29" s="4">
        <v>1</v>
      </c>
      <c r="G29" s="4">
        <v>1</v>
      </c>
      <c r="H29" s="4">
        <v>1</v>
      </c>
      <c r="I29" s="4">
        <v>1</v>
      </c>
      <c r="J29" s="4">
        <v>1</v>
      </c>
      <c r="K29" s="4">
        <v>2</v>
      </c>
      <c r="L29" s="4">
        <v>2</v>
      </c>
      <c r="M29" s="4">
        <v>2</v>
      </c>
      <c r="N29" s="4">
        <v>2</v>
      </c>
      <c r="O29" s="4">
        <v>2</v>
      </c>
      <c r="P29" s="4">
        <v>4</v>
      </c>
      <c r="Q29" s="4">
        <v>2</v>
      </c>
    </row>
    <row r="30" spans="1:17" s="4" customFormat="1" ht="20.100000000000001" customHeight="1" x14ac:dyDescent="0.2">
      <c r="A30" s="21"/>
      <c r="B30" s="39"/>
      <c r="C30" s="4" t="s">
        <v>15</v>
      </c>
      <c r="J30" s="4">
        <v>0.05</v>
      </c>
      <c r="K30" s="4">
        <v>0.05</v>
      </c>
      <c r="L30" s="4">
        <v>0.05</v>
      </c>
      <c r="M30" s="4">
        <v>0.05</v>
      </c>
      <c r="N30" s="4">
        <v>0.05</v>
      </c>
      <c r="O30" s="4">
        <v>0.05</v>
      </c>
      <c r="P30" s="4">
        <v>0.05</v>
      </c>
      <c r="Q30" s="4">
        <v>0.05</v>
      </c>
    </row>
    <row r="31" spans="1:17" s="2" customFormat="1" ht="20.100000000000001" customHeight="1" x14ac:dyDescent="0.2">
      <c r="A31" s="21"/>
      <c r="B31" s="13"/>
      <c r="C31" s="9"/>
      <c r="D31" s="9"/>
      <c r="E31" s="9"/>
    </row>
    <row r="32" spans="1:17" s="4" customFormat="1" ht="20.100000000000001" customHeight="1" x14ac:dyDescent="0.2">
      <c r="A32" s="21"/>
      <c r="B32" s="36" t="s">
        <v>17</v>
      </c>
      <c r="C32" s="4" t="s">
        <v>13</v>
      </c>
      <c r="D32" s="4">
        <v>4</v>
      </c>
      <c r="E32" s="4">
        <v>4</v>
      </c>
      <c r="F32" s="4">
        <v>4</v>
      </c>
      <c r="G32" s="4">
        <v>4</v>
      </c>
      <c r="H32" s="4">
        <v>5</v>
      </c>
      <c r="I32" s="4">
        <v>4</v>
      </c>
      <c r="J32" s="4">
        <v>5</v>
      </c>
      <c r="K32" s="4">
        <v>5</v>
      </c>
      <c r="L32" s="4">
        <v>5</v>
      </c>
      <c r="M32" s="4">
        <v>6</v>
      </c>
      <c r="N32" s="4">
        <v>5</v>
      </c>
      <c r="O32" s="4">
        <v>6</v>
      </c>
      <c r="P32" s="4">
        <v>6</v>
      </c>
      <c r="Q32" s="4">
        <v>6</v>
      </c>
    </row>
    <row r="33" spans="1:17" s="4" customFormat="1" ht="20.100000000000001" customHeight="1" x14ac:dyDescent="0.2">
      <c r="A33" s="21"/>
      <c r="B33" s="37"/>
      <c r="C33" s="4" t="s">
        <v>7</v>
      </c>
      <c r="D33" s="4">
        <f>0.9*D28</f>
        <v>180</v>
      </c>
      <c r="E33" s="4">
        <f t="shared" ref="E33:Q33" si="2">0.9*E28</f>
        <v>225</v>
      </c>
      <c r="F33" s="4">
        <f t="shared" si="2"/>
        <v>225</v>
      </c>
      <c r="G33" s="4">
        <f t="shared" si="2"/>
        <v>180</v>
      </c>
      <c r="H33" s="4">
        <f t="shared" si="2"/>
        <v>450</v>
      </c>
      <c r="I33" s="4">
        <f t="shared" si="2"/>
        <v>270</v>
      </c>
      <c r="J33" s="4">
        <f t="shared" si="2"/>
        <v>405</v>
      </c>
      <c r="K33" s="4">
        <f t="shared" si="2"/>
        <v>540</v>
      </c>
      <c r="L33" s="4">
        <f t="shared" si="2"/>
        <v>360</v>
      </c>
      <c r="M33" s="4">
        <f t="shared" si="2"/>
        <v>810</v>
      </c>
      <c r="N33" s="4">
        <f t="shared" si="2"/>
        <v>720</v>
      </c>
      <c r="O33" s="4">
        <f t="shared" si="2"/>
        <v>720</v>
      </c>
      <c r="P33" s="4">
        <f t="shared" si="2"/>
        <v>900</v>
      </c>
      <c r="Q33" s="4">
        <f t="shared" si="2"/>
        <v>630</v>
      </c>
    </row>
    <row r="34" spans="1:17" s="4" customFormat="1" ht="20.100000000000001" customHeight="1" x14ac:dyDescent="0.2">
      <c r="A34" s="21"/>
      <c r="B34" s="37"/>
      <c r="C34" s="4" t="s">
        <v>14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2</v>
      </c>
      <c r="L34" s="4">
        <v>2</v>
      </c>
      <c r="M34" s="4">
        <v>2</v>
      </c>
      <c r="N34" s="4">
        <v>2</v>
      </c>
      <c r="O34" s="4">
        <v>2</v>
      </c>
      <c r="P34" s="4">
        <v>2</v>
      </c>
      <c r="Q34" s="4">
        <v>2</v>
      </c>
    </row>
    <row r="35" spans="1:17" s="4" customFormat="1" ht="20.100000000000001" customHeight="1" x14ac:dyDescent="0.2">
      <c r="A35" s="21"/>
      <c r="B35" s="38"/>
      <c r="C35" s="4" t="s">
        <v>15</v>
      </c>
      <c r="J35" s="4">
        <v>0.05</v>
      </c>
      <c r="K35" s="4">
        <v>0.05</v>
      </c>
      <c r="L35" s="4">
        <v>0.05</v>
      </c>
      <c r="M35" s="4">
        <v>0.05</v>
      </c>
      <c r="N35" s="4">
        <v>0.05</v>
      </c>
      <c r="O35" s="4">
        <v>0.05</v>
      </c>
      <c r="P35" s="4">
        <v>0.05</v>
      </c>
      <c r="Q35" s="4">
        <v>0.05</v>
      </c>
    </row>
    <row r="36" spans="1:17" s="2" customFormat="1" ht="20.100000000000001" customHeight="1" x14ac:dyDescent="0.2">
      <c r="A36" s="21"/>
      <c r="B36" s="14"/>
      <c r="C36" s="1"/>
      <c r="D36" s="1"/>
      <c r="E36" s="1"/>
    </row>
    <row r="37" spans="1:17" s="4" customFormat="1" ht="20.100000000000001" customHeight="1" x14ac:dyDescent="0.2">
      <c r="A37" s="21"/>
      <c r="B37" s="36" t="s">
        <v>18</v>
      </c>
      <c r="C37" s="4" t="s">
        <v>13</v>
      </c>
      <c r="D37" s="4">
        <v>2</v>
      </c>
      <c r="E37" s="4">
        <v>2</v>
      </c>
      <c r="F37" s="4">
        <v>2</v>
      </c>
      <c r="G37" s="4">
        <v>3</v>
      </c>
      <c r="H37" s="4">
        <v>3</v>
      </c>
      <c r="I37" s="4">
        <v>3</v>
      </c>
      <c r="J37" s="4">
        <v>2</v>
      </c>
      <c r="K37" s="4">
        <v>3</v>
      </c>
      <c r="L37" s="4">
        <v>3</v>
      </c>
      <c r="M37" s="4">
        <v>4</v>
      </c>
      <c r="N37" s="4">
        <v>3</v>
      </c>
      <c r="O37" s="4">
        <v>4</v>
      </c>
      <c r="P37" s="4">
        <v>4</v>
      </c>
      <c r="Q37" s="4">
        <v>4</v>
      </c>
    </row>
    <row r="38" spans="1:17" s="4" customFormat="1" ht="20.100000000000001" customHeight="1" x14ac:dyDescent="0.2">
      <c r="A38" s="21"/>
      <c r="B38" s="37"/>
      <c r="C38" s="4" t="s">
        <v>7</v>
      </c>
      <c r="D38" s="4">
        <f>0.6*D28</f>
        <v>120</v>
      </c>
      <c r="E38" s="4">
        <f t="shared" ref="E38:Q38" si="3">0.6*E28</f>
        <v>150</v>
      </c>
      <c r="F38" s="4">
        <f t="shared" si="3"/>
        <v>150</v>
      </c>
      <c r="G38" s="4">
        <f t="shared" si="3"/>
        <v>120</v>
      </c>
      <c r="H38" s="4">
        <f t="shared" si="3"/>
        <v>300</v>
      </c>
      <c r="I38" s="4">
        <f t="shared" si="3"/>
        <v>180</v>
      </c>
      <c r="J38" s="4">
        <f t="shared" si="3"/>
        <v>270</v>
      </c>
      <c r="K38" s="4">
        <f t="shared" si="3"/>
        <v>360</v>
      </c>
      <c r="L38" s="4">
        <f t="shared" si="3"/>
        <v>240</v>
      </c>
      <c r="M38" s="4">
        <f t="shared" si="3"/>
        <v>540</v>
      </c>
      <c r="N38" s="4">
        <f t="shared" si="3"/>
        <v>480</v>
      </c>
      <c r="O38" s="4">
        <f t="shared" si="3"/>
        <v>480</v>
      </c>
      <c r="P38" s="4">
        <f t="shared" si="3"/>
        <v>600</v>
      </c>
      <c r="Q38" s="4">
        <f t="shared" si="3"/>
        <v>420</v>
      </c>
    </row>
    <row r="39" spans="1:17" s="4" customFormat="1" ht="20.100000000000001" customHeight="1" x14ac:dyDescent="0.2">
      <c r="A39" s="21"/>
      <c r="B39" s="37"/>
      <c r="C39" s="4" t="s">
        <v>14</v>
      </c>
      <c r="D39" s="4">
        <v>1</v>
      </c>
      <c r="E39" s="4">
        <v>1</v>
      </c>
      <c r="F39" s="4">
        <v>1</v>
      </c>
      <c r="G39" s="4">
        <v>1</v>
      </c>
      <c r="H39" s="4">
        <v>1</v>
      </c>
      <c r="I39" s="4">
        <v>2</v>
      </c>
      <c r="J39" s="4">
        <v>1</v>
      </c>
      <c r="K39" s="4">
        <v>2</v>
      </c>
      <c r="L39" s="4">
        <v>2</v>
      </c>
      <c r="M39" s="4">
        <v>2</v>
      </c>
      <c r="N39" s="4">
        <v>2</v>
      </c>
      <c r="O39" s="4">
        <v>2</v>
      </c>
      <c r="P39" s="4">
        <v>2</v>
      </c>
      <c r="Q39" s="4">
        <v>2</v>
      </c>
    </row>
    <row r="40" spans="1:17" s="4" customFormat="1" ht="20.100000000000001" customHeight="1" x14ac:dyDescent="0.2">
      <c r="A40" s="21"/>
      <c r="B40" s="38"/>
      <c r="C40" s="4" t="s">
        <v>15</v>
      </c>
      <c r="J40" s="4">
        <v>0.05</v>
      </c>
      <c r="K40" s="4">
        <v>0.05</v>
      </c>
      <c r="L40" s="4">
        <v>0.05</v>
      </c>
      <c r="M40" s="4">
        <v>0.05</v>
      </c>
      <c r="N40" s="4">
        <v>0.05</v>
      </c>
      <c r="O40" s="4">
        <v>0.05</v>
      </c>
      <c r="P40" s="4">
        <v>0.05</v>
      </c>
      <c r="Q40" s="4">
        <v>0.05</v>
      </c>
    </row>
    <row r="41" spans="1:17" s="2" customFormat="1" ht="20.100000000000001" customHeight="1" x14ac:dyDescent="0.2">
      <c r="A41" s="21"/>
      <c r="B41" s="14"/>
      <c r="C41" s="1"/>
      <c r="D41" s="1"/>
      <c r="E41" s="1"/>
    </row>
    <row r="42" spans="1:17" s="4" customFormat="1" ht="20.100000000000001" customHeight="1" x14ac:dyDescent="0.2">
      <c r="A42" s="21"/>
      <c r="B42" s="36" t="s">
        <v>19</v>
      </c>
      <c r="C42" s="4" t="s">
        <v>7</v>
      </c>
      <c r="D42" s="4">
        <f>0.9*D28</f>
        <v>180</v>
      </c>
      <c r="E42" s="4">
        <f t="shared" ref="E42:Q42" si="4">0.9*E28</f>
        <v>225</v>
      </c>
      <c r="F42" s="4">
        <f t="shared" si="4"/>
        <v>225</v>
      </c>
      <c r="G42" s="4">
        <f t="shared" si="4"/>
        <v>180</v>
      </c>
      <c r="H42" s="4">
        <f t="shared" si="4"/>
        <v>450</v>
      </c>
      <c r="I42" s="4">
        <f t="shared" si="4"/>
        <v>270</v>
      </c>
      <c r="J42" s="4">
        <f t="shared" si="4"/>
        <v>405</v>
      </c>
      <c r="K42" s="4">
        <f t="shared" si="4"/>
        <v>540</v>
      </c>
      <c r="L42" s="4">
        <f t="shared" si="4"/>
        <v>360</v>
      </c>
      <c r="M42" s="4">
        <f t="shared" si="4"/>
        <v>810</v>
      </c>
      <c r="N42" s="4">
        <f t="shared" si="4"/>
        <v>720</v>
      </c>
      <c r="O42" s="4">
        <f t="shared" si="4"/>
        <v>720</v>
      </c>
      <c r="P42" s="4">
        <f t="shared" si="4"/>
        <v>900</v>
      </c>
      <c r="Q42" s="4">
        <f t="shared" si="4"/>
        <v>630</v>
      </c>
    </row>
    <row r="43" spans="1:17" s="4" customFormat="1" ht="20.100000000000001" customHeight="1" x14ac:dyDescent="0.2">
      <c r="A43" s="21"/>
      <c r="B43" s="37"/>
      <c r="C43" s="4" t="s">
        <v>14</v>
      </c>
      <c r="D43" s="4">
        <v>1</v>
      </c>
      <c r="E43" s="4">
        <v>1</v>
      </c>
      <c r="F43" s="4">
        <v>1</v>
      </c>
      <c r="G43" s="4">
        <v>1</v>
      </c>
      <c r="H43" s="4">
        <v>1</v>
      </c>
      <c r="I43" s="4">
        <v>1</v>
      </c>
      <c r="J43" s="4">
        <v>1</v>
      </c>
      <c r="K43" s="4">
        <v>2</v>
      </c>
      <c r="L43" s="4">
        <v>2</v>
      </c>
      <c r="M43" s="4">
        <v>2</v>
      </c>
      <c r="N43" s="4">
        <v>2</v>
      </c>
      <c r="O43" s="4">
        <v>2</v>
      </c>
      <c r="P43" s="4">
        <v>2</v>
      </c>
      <c r="Q43" s="4">
        <v>2</v>
      </c>
    </row>
    <row r="44" spans="1:17" s="4" customFormat="1" ht="20.100000000000001" customHeight="1" x14ac:dyDescent="0.2">
      <c r="A44" s="21"/>
      <c r="B44" s="38"/>
      <c r="C44" s="4" t="s">
        <v>15</v>
      </c>
      <c r="J44" s="4">
        <v>0.05</v>
      </c>
      <c r="K44" s="4">
        <v>0.05</v>
      </c>
      <c r="L44" s="4">
        <v>0.05</v>
      </c>
      <c r="M44" s="4">
        <v>0.05</v>
      </c>
      <c r="N44" s="4">
        <v>0.05</v>
      </c>
      <c r="O44" s="4">
        <v>0.05</v>
      </c>
      <c r="P44" s="4">
        <v>0.05</v>
      </c>
      <c r="Q44" s="4">
        <v>0.05</v>
      </c>
    </row>
    <row r="45" spans="1:17" s="2" customFormat="1" ht="20.100000000000001" customHeight="1" x14ac:dyDescent="0.2">
      <c r="A45" s="21"/>
      <c r="D45" s="7"/>
      <c r="E45" s="7"/>
    </row>
    <row r="46" spans="1:17" s="4" customFormat="1" ht="20.100000000000001" customHeight="1" x14ac:dyDescent="0.2">
      <c r="A46" s="21"/>
      <c r="B46" s="36" t="s">
        <v>30</v>
      </c>
      <c r="C46" s="4">
        <v>1</v>
      </c>
    </row>
    <row r="47" spans="1:17" s="4" customFormat="1" ht="20.100000000000001" customHeight="1" x14ac:dyDescent="0.2">
      <c r="A47" s="21"/>
      <c r="B47" s="37"/>
      <c r="C47" s="4">
        <v>2</v>
      </c>
    </row>
    <row r="48" spans="1:17" s="4" customFormat="1" ht="20.100000000000001" customHeight="1" x14ac:dyDescent="0.2">
      <c r="A48" s="21"/>
      <c r="B48" s="38"/>
      <c r="C48" s="4">
        <v>3</v>
      </c>
    </row>
    <row r="49" spans="1:17" s="2" customFormat="1" ht="20.100000000000001" customHeight="1" x14ac:dyDescent="0.2">
      <c r="A49" s="21"/>
      <c r="B49" s="15"/>
      <c r="C49" s="7"/>
      <c r="D49" s="8"/>
      <c r="E49" s="8"/>
    </row>
    <row r="50" spans="1:17" s="4" customFormat="1" ht="20.100000000000001" customHeight="1" x14ac:dyDescent="0.2">
      <c r="A50" s="21"/>
      <c r="B50" s="36" t="s">
        <v>28</v>
      </c>
      <c r="C50" s="4" t="s">
        <v>29</v>
      </c>
      <c r="D50" s="4">
        <f t="shared" ref="D50:Q50" si="5">D22+D27+D32+D37</f>
        <v>13</v>
      </c>
      <c r="E50" s="4">
        <f t="shared" si="5"/>
        <v>13</v>
      </c>
      <c r="F50" s="4">
        <f t="shared" si="5"/>
        <v>14</v>
      </c>
      <c r="G50" s="4">
        <f t="shared" si="5"/>
        <v>14</v>
      </c>
      <c r="H50" s="4">
        <f t="shared" si="5"/>
        <v>18</v>
      </c>
      <c r="I50" s="4">
        <f t="shared" si="5"/>
        <v>16</v>
      </c>
      <c r="J50" s="4">
        <f t="shared" si="5"/>
        <v>16</v>
      </c>
      <c r="K50" s="4">
        <f t="shared" si="5"/>
        <v>18</v>
      </c>
      <c r="L50" s="4">
        <f t="shared" si="5"/>
        <v>18</v>
      </c>
      <c r="M50" s="4">
        <f t="shared" si="5"/>
        <v>22</v>
      </c>
      <c r="N50" s="4">
        <f t="shared" si="5"/>
        <v>18</v>
      </c>
      <c r="O50" s="4">
        <f t="shared" si="5"/>
        <v>22</v>
      </c>
      <c r="P50" s="4">
        <f t="shared" si="5"/>
        <v>23</v>
      </c>
      <c r="Q50" s="4">
        <f t="shared" si="5"/>
        <v>22</v>
      </c>
    </row>
    <row r="51" spans="1:17" s="4" customFormat="1" ht="20.100000000000001" customHeight="1" x14ac:dyDescent="0.2">
      <c r="A51" s="21"/>
      <c r="B51" s="37"/>
      <c r="C51" s="4" t="s">
        <v>129</v>
      </c>
      <c r="D51" s="4">
        <f t="shared" ref="D51:Q51" si="6">D24+D29+D34+D39+D43</f>
        <v>5</v>
      </c>
      <c r="E51" s="4">
        <f t="shared" si="6"/>
        <v>5</v>
      </c>
      <c r="F51" s="4">
        <f t="shared" si="6"/>
        <v>5</v>
      </c>
      <c r="G51" s="4">
        <f t="shared" si="6"/>
        <v>5</v>
      </c>
      <c r="H51" s="4">
        <f t="shared" si="6"/>
        <v>5</v>
      </c>
      <c r="I51" s="4">
        <f t="shared" si="6"/>
        <v>7</v>
      </c>
      <c r="J51" s="4">
        <f t="shared" si="6"/>
        <v>5</v>
      </c>
      <c r="K51" s="4">
        <f t="shared" si="6"/>
        <v>10</v>
      </c>
      <c r="L51" s="4">
        <f t="shared" si="6"/>
        <v>10</v>
      </c>
      <c r="M51" s="4">
        <f t="shared" si="6"/>
        <v>10</v>
      </c>
      <c r="N51" s="4">
        <f t="shared" si="6"/>
        <v>10</v>
      </c>
      <c r="O51" s="4">
        <f t="shared" si="6"/>
        <v>10</v>
      </c>
      <c r="P51" s="4">
        <f t="shared" si="6"/>
        <v>12</v>
      </c>
      <c r="Q51" s="4">
        <f t="shared" si="6"/>
        <v>10</v>
      </c>
    </row>
    <row r="52" spans="1:17" s="4" customFormat="1" ht="20.100000000000001" customHeight="1" x14ac:dyDescent="0.2">
      <c r="A52" s="21"/>
      <c r="B52" s="38"/>
      <c r="C52" s="4" t="s">
        <v>130</v>
      </c>
      <c r="D52" s="4">
        <f>D50*(1+D51*0.02)</f>
        <v>14.3</v>
      </c>
      <c r="E52" s="4">
        <f>E50*(1+E51*0.02)</f>
        <v>14.3</v>
      </c>
      <c r="F52" s="4">
        <f t="shared" ref="F52:M52" si="7">F50*(1+F51*0.02)</f>
        <v>15.400000000000002</v>
      </c>
      <c r="G52" s="4">
        <f t="shared" si="7"/>
        <v>15.400000000000002</v>
      </c>
      <c r="H52" s="4">
        <f t="shared" si="7"/>
        <v>19.8</v>
      </c>
      <c r="I52" s="4">
        <f t="shared" si="7"/>
        <v>18.240000000000002</v>
      </c>
      <c r="J52" s="4">
        <f t="shared" si="7"/>
        <v>17.600000000000001</v>
      </c>
      <c r="K52" s="4">
        <f t="shared" si="7"/>
        <v>21.599999999999998</v>
      </c>
      <c r="L52" s="4">
        <f t="shared" si="7"/>
        <v>21.599999999999998</v>
      </c>
      <c r="M52" s="4">
        <f t="shared" si="7"/>
        <v>26.4</v>
      </c>
      <c r="N52" s="4">
        <f t="shared" ref="N52" si="8">N50*(1+N51*0.02)</f>
        <v>21.599999999999998</v>
      </c>
      <c r="O52" s="4">
        <f t="shared" ref="O52" si="9">O50*(1+O51*0.02)</f>
        <v>26.4</v>
      </c>
      <c r="P52" s="4">
        <f t="shared" ref="P52" si="10">P50*(1+P51*0.02)</f>
        <v>28.52</v>
      </c>
      <c r="Q52" s="4">
        <f t="shared" ref="Q52" si="11">Q50*(1+Q51*0.02)</f>
        <v>26.4</v>
      </c>
    </row>
    <row r="53" spans="1:17" s="7" customFormat="1" ht="20.100000000000001" customHeight="1" x14ac:dyDescent="0.2">
      <c r="A53" s="2"/>
      <c r="B53" s="8"/>
      <c r="C53" s="8"/>
    </row>
    <row r="54" spans="1:17" s="5" customFormat="1" ht="20.100000000000001" customHeight="1" x14ac:dyDescent="0.2">
      <c r="A54" s="35" t="s">
        <v>136</v>
      </c>
      <c r="B54" s="35" t="s">
        <v>20</v>
      </c>
      <c r="C54" s="5" t="s">
        <v>21</v>
      </c>
    </row>
    <row r="55" spans="1:17" s="5" customFormat="1" ht="20.100000000000001" customHeight="1" x14ac:dyDescent="0.2">
      <c r="A55" s="22"/>
      <c r="B55" s="22"/>
      <c r="C55" s="5" t="s">
        <v>7</v>
      </c>
    </row>
    <row r="56" spans="1:17" s="5" customFormat="1" ht="20.100000000000001" customHeight="1" x14ac:dyDescent="0.2">
      <c r="A56" s="22"/>
      <c r="B56" s="22"/>
      <c r="C56" s="5" t="s">
        <v>22</v>
      </c>
    </row>
    <row r="57" spans="1:17" s="5" customFormat="1" ht="20.100000000000001" customHeight="1" x14ac:dyDescent="0.2">
      <c r="A57" s="22"/>
      <c r="B57" s="23"/>
      <c r="C57" s="5" t="s">
        <v>23</v>
      </c>
    </row>
    <row r="58" spans="1:17" s="5" customFormat="1" ht="20.100000000000001" customHeight="1" x14ac:dyDescent="0.2">
      <c r="A58" s="22"/>
      <c r="B58" s="35" t="s">
        <v>30</v>
      </c>
      <c r="C58" s="5">
        <v>1</v>
      </c>
    </row>
    <row r="59" spans="1:17" s="5" customFormat="1" ht="20.100000000000001" customHeight="1" x14ac:dyDescent="0.2">
      <c r="A59" s="22"/>
      <c r="B59" s="22"/>
      <c r="C59" s="5">
        <v>2</v>
      </c>
    </row>
    <row r="60" spans="1:17" s="5" customFormat="1" ht="20.100000000000001" customHeight="1" x14ac:dyDescent="0.2">
      <c r="A60" s="22"/>
      <c r="B60" s="23"/>
      <c r="C60" s="5">
        <v>3</v>
      </c>
    </row>
    <row r="61" spans="1:17" s="2" customFormat="1" ht="20.100000000000001" customHeight="1" x14ac:dyDescent="0.2">
      <c r="A61" s="22"/>
      <c r="B61" s="9"/>
      <c r="C61" s="9"/>
      <c r="D61" s="9"/>
      <c r="E61" s="9"/>
    </row>
    <row r="62" spans="1:17" s="5" customFormat="1" ht="20.100000000000001" customHeight="1" x14ac:dyDescent="0.2">
      <c r="A62" s="22"/>
      <c r="B62" s="35" t="s">
        <v>25</v>
      </c>
      <c r="C62" s="5" t="s">
        <v>2</v>
      </c>
    </row>
    <row r="63" spans="1:17" s="5" customFormat="1" ht="20.100000000000001" customHeight="1" x14ac:dyDescent="0.2">
      <c r="A63" s="22"/>
      <c r="B63" s="22"/>
      <c r="C63" s="5" t="s">
        <v>23</v>
      </c>
    </row>
    <row r="64" spans="1:17" s="5" customFormat="1" ht="20.100000000000001" customHeight="1" x14ac:dyDescent="0.2">
      <c r="A64" s="23"/>
      <c r="B64" s="23"/>
      <c r="C64" s="5" t="s">
        <v>6</v>
      </c>
    </row>
    <row r="65" spans="1:17" s="2" customFormat="1" ht="20.100000000000001" customHeight="1" x14ac:dyDescent="0.2"/>
    <row r="66" spans="1:17" s="6" customFormat="1" ht="20.100000000000001" customHeight="1" x14ac:dyDescent="0.2">
      <c r="A66" s="30" t="s">
        <v>26</v>
      </c>
      <c r="B66" s="6" t="s">
        <v>10</v>
      </c>
      <c r="C66" s="6" t="s">
        <v>11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</row>
    <row r="67" spans="1:17" s="4" customFormat="1" ht="20.100000000000001" customHeight="1" x14ac:dyDescent="0.2">
      <c r="A67" s="31"/>
      <c r="B67" s="4" t="s">
        <v>132</v>
      </c>
      <c r="C67" s="4" t="s">
        <v>135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0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</row>
    <row r="68" spans="1:17" s="4" customFormat="1" ht="20.100000000000001" customHeight="1" x14ac:dyDescent="0.2">
      <c r="A68" s="31"/>
      <c r="B68" s="4" t="s">
        <v>133</v>
      </c>
      <c r="C68" s="4" t="s">
        <v>135</v>
      </c>
      <c r="F68" s="4">
        <v>1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0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</row>
    <row r="69" spans="1:17" s="5" customFormat="1" ht="20.100000000000001" customHeight="1" x14ac:dyDescent="0.2">
      <c r="A69" s="32"/>
      <c r="B69" s="5" t="s">
        <v>134</v>
      </c>
      <c r="C69" s="5" t="s">
        <v>135</v>
      </c>
    </row>
  </sheetData>
  <mergeCells count="17">
    <mergeCell ref="A54:A64"/>
    <mergeCell ref="B54:B57"/>
    <mergeCell ref="B58:B60"/>
    <mergeCell ref="B50:B52"/>
    <mergeCell ref="A66:A69"/>
    <mergeCell ref="A9:A20"/>
    <mergeCell ref="B62:B64"/>
    <mergeCell ref="B9:B12"/>
    <mergeCell ref="B13:B15"/>
    <mergeCell ref="B17:B20"/>
    <mergeCell ref="B22:B25"/>
    <mergeCell ref="B27:B30"/>
    <mergeCell ref="A22:A52"/>
    <mergeCell ref="B46:B48"/>
    <mergeCell ref="B32:B35"/>
    <mergeCell ref="B37:B40"/>
    <mergeCell ref="B42:B44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3A64-1223-4346-9F98-17294D0E7928}">
  <dimension ref="A1:AE69"/>
  <sheetViews>
    <sheetView workbookViewId="0">
      <pane xSplit="3" ySplit="4" topLeftCell="Z41" activePane="bottomRight" state="frozen"/>
      <selection pane="topRight" activeCell="D1" sqref="D1"/>
      <selection pane="bottomLeft" activeCell="A5" sqref="A5"/>
      <selection pane="bottomRight" activeCell="Z65" sqref="Z65"/>
    </sheetView>
  </sheetViews>
  <sheetFormatPr defaultColWidth="16.625" defaultRowHeight="20.100000000000001" customHeight="1" x14ac:dyDescent="0.2"/>
  <cols>
    <col min="1" max="3" width="16.625" style="2"/>
  </cols>
  <sheetData>
    <row r="1" spans="1:31" ht="20.100000000000001" customHeight="1" x14ac:dyDescent="0.2">
      <c r="D1" s="2"/>
      <c r="E1" s="2"/>
    </row>
    <row r="2" spans="1:31" ht="20.100000000000001" customHeight="1" x14ac:dyDescent="0.2">
      <c r="D2" s="2"/>
      <c r="E2" s="2"/>
    </row>
    <row r="3" spans="1:31" ht="20.100000000000001" customHeight="1" x14ac:dyDescent="0.2">
      <c r="D3" s="2" t="s">
        <v>0</v>
      </c>
      <c r="E3" s="2"/>
    </row>
    <row r="4" spans="1:31" s="11" customFormat="1" ht="20.100000000000001" customHeight="1" x14ac:dyDescent="0.2">
      <c r="A4" s="1"/>
      <c r="B4" s="1"/>
      <c r="C4" s="1"/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1" t="s">
        <v>67</v>
      </c>
      <c r="Q4" s="1" t="s">
        <v>68</v>
      </c>
      <c r="R4" s="1" t="s">
        <v>69</v>
      </c>
      <c r="S4" s="1" t="s">
        <v>70</v>
      </c>
      <c r="T4" s="1" t="s">
        <v>71</v>
      </c>
      <c r="U4" s="1" t="s">
        <v>72</v>
      </c>
      <c r="V4" s="1" t="s">
        <v>73</v>
      </c>
      <c r="W4" s="1" t="s">
        <v>74</v>
      </c>
      <c r="X4" s="1" t="s">
        <v>75</v>
      </c>
      <c r="Y4" s="1" t="s">
        <v>76</v>
      </c>
      <c r="Z4" s="1" t="s">
        <v>77</v>
      </c>
      <c r="AA4" s="1" t="s">
        <v>78</v>
      </c>
      <c r="AB4" s="1" t="s">
        <v>79</v>
      </c>
      <c r="AC4" s="1" t="s">
        <v>80</v>
      </c>
      <c r="AD4" s="1" t="s">
        <v>81</v>
      </c>
      <c r="AE4" s="1" t="s">
        <v>82</v>
      </c>
    </row>
    <row r="5" spans="1:31" s="11" customFormat="1" ht="20.100000000000001" customHeight="1" x14ac:dyDescent="0.2">
      <c r="A5" s="1"/>
      <c r="B5" s="1"/>
      <c r="C5" s="1" t="s">
        <v>139</v>
      </c>
      <c r="D5" s="1" t="s">
        <v>211</v>
      </c>
      <c r="E5" s="1" t="s">
        <v>212</v>
      </c>
      <c r="F5" s="1" t="s">
        <v>213</v>
      </c>
      <c r="G5" s="1" t="s">
        <v>214</v>
      </c>
      <c r="H5" s="1" t="s">
        <v>215</v>
      </c>
      <c r="I5" s="1" t="s">
        <v>216</v>
      </c>
      <c r="J5" s="1" t="s">
        <v>217</v>
      </c>
      <c r="K5" s="1" t="s">
        <v>218</v>
      </c>
      <c r="L5" s="1" t="s">
        <v>219</v>
      </c>
      <c r="M5" s="1" t="s">
        <v>224</v>
      </c>
      <c r="N5" s="1" t="s">
        <v>224</v>
      </c>
      <c r="O5" s="1" t="s">
        <v>225</v>
      </c>
      <c r="P5" s="11" t="s">
        <v>226</v>
      </c>
      <c r="Q5" s="11" t="s">
        <v>227</v>
      </c>
      <c r="R5" s="11" t="s">
        <v>228</v>
      </c>
      <c r="S5" s="11" t="s">
        <v>229</v>
      </c>
      <c r="T5" s="11" t="s">
        <v>230</v>
      </c>
      <c r="U5" s="11" t="s">
        <v>231</v>
      </c>
      <c r="V5" s="11" t="s">
        <v>232</v>
      </c>
      <c r="W5" s="11" t="s">
        <v>233</v>
      </c>
      <c r="X5" s="11" t="s">
        <v>234</v>
      </c>
      <c r="Y5" s="11" t="s">
        <v>235</v>
      </c>
      <c r="Z5" s="11" t="s">
        <v>236</v>
      </c>
      <c r="AA5" s="11" t="s">
        <v>237</v>
      </c>
      <c r="AB5" s="11" t="s">
        <v>238</v>
      </c>
      <c r="AC5" s="11" t="s">
        <v>239</v>
      </c>
      <c r="AD5" s="11" t="s">
        <v>240</v>
      </c>
      <c r="AE5" s="11" t="s">
        <v>241</v>
      </c>
    </row>
    <row r="6" spans="1:31" s="11" customFormat="1" ht="20.100000000000001" customHeight="1" x14ac:dyDescent="0.2">
      <c r="A6" s="1"/>
      <c r="B6" s="1"/>
      <c r="C6" s="1" t="s">
        <v>147</v>
      </c>
      <c r="D6" s="1" t="s">
        <v>156</v>
      </c>
      <c r="E6" s="1" t="s">
        <v>156</v>
      </c>
      <c r="F6" s="1" t="s">
        <v>156</v>
      </c>
      <c r="G6" s="1" t="s">
        <v>156</v>
      </c>
      <c r="H6" s="1" t="s">
        <v>156</v>
      </c>
      <c r="I6" s="1" t="s">
        <v>156</v>
      </c>
      <c r="J6" s="1" t="s">
        <v>156</v>
      </c>
      <c r="K6" s="1" t="s">
        <v>156</v>
      </c>
      <c r="L6" s="1" t="s">
        <v>156</v>
      </c>
      <c r="M6" s="1" t="s">
        <v>156</v>
      </c>
      <c r="N6" s="1" t="s">
        <v>156</v>
      </c>
      <c r="O6" s="1" t="s">
        <v>156</v>
      </c>
      <c r="P6" s="1" t="s">
        <v>156</v>
      </c>
      <c r="Q6" s="1" t="s">
        <v>156</v>
      </c>
      <c r="R6" s="1" t="s">
        <v>156</v>
      </c>
      <c r="S6" s="1" t="s">
        <v>156</v>
      </c>
      <c r="T6" s="1" t="s">
        <v>156</v>
      </c>
      <c r="U6" s="1" t="s">
        <v>156</v>
      </c>
      <c r="V6" s="1" t="s">
        <v>156</v>
      </c>
      <c r="W6" s="1" t="s">
        <v>156</v>
      </c>
      <c r="X6" s="1" t="s">
        <v>156</v>
      </c>
      <c r="Y6" s="1" t="s">
        <v>156</v>
      </c>
      <c r="Z6" s="1" t="s">
        <v>156</v>
      </c>
      <c r="AA6" s="1" t="s">
        <v>156</v>
      </c>
      <c r="AB6" s="1" t="s">
        <v>156</v>
      </c>
      <c r="AC6" s="1" t="s">
        <v>156</v>
      </c>
      <c r="AD6" s="1" t="s">
        <v>156</v>
      </c>
      <c r="AE6" s="1" t="s">
        <v>156</v>
      </c>
    </row>
    <row r="7" spans="1:31" s="11" customFormat="1" ht="20.100000000000001" customHeight="1" x14ac:dyDescent="0.2">
      <c r="A7" s="1"/>
      <c r="B7" s="1"/>
      <c r="C7" s="1" t="s">
        <v>124</v>
      </c>
      <c r="D7" s="1">
        <v>3</v>
      </c>
      <c r="E7" s="1">
        <v>3</v>
      </c>
      <c r="F7" s="1">
        <v>3</v>
      </c>
      <c r="G7" s="1">
        <v>3</v>
      </c>
      <c r="H7" s="1">
        <v>3</v>
      </c>
      <c r="I7" s="1">
        <v>3</v>
      </c>
      <c r="J7" s="1">
        <v>3</v>
      </c>
      <c r="K7" s="1">
        <v>3</v>
      </c>
      <c r="L7" s="1">
        <v>3</v>
      </c>
      <c r="M7" s="1">
        <v>3</v>
      </c>
      <c r="N7" s="1">
        <v>3</v>
      </c>
      <c r="O7" s="1">
        <v>3</v>
      </c>
      <c r="P7" s="1">
        <v>3</v>
      </c>
      <c r="Q7" s="1">
        <v>3</v>
      </c>
      <c r="R7" s="1">
        <v>3</v>
      </c>
      <c r="S7" s="1">
        <v>3</v>
      </c>
      <c r="T7" s="1">
        <v>3</v>
      </c>
      <c r="U7" s="1">
        <v>3</v>
      </c>
      <c r="V7" s="1">
        <v>3</v>
      </c>
      <c r="W7" s="1">
        <v>3</v>
      </c>
      <c r="X7" s="1">
        <v>3</v>
      </c>
      <c r="Y7" s="1">
        <v>3</v>
      </c>
      <c r="Z7" s="1">
        <v>3</v>
      </c>
      <c r="AA7" s="1">
        <v>3</v>
      </c>
      <c r="AB7" s="1">
        <v>3</v>
      </c>
      <c r="AC7" s="1">
        <v>3</v>
      </c>
      <c r="AD7" s="1">
        <v>3</v>
      </c>
      <c r="AE7" s="1">
        <v>3</v>
      </c>
    </row>
    <row r="8" spans="1:31" s="11" customFormat="1" ht="20.100000000000001" customHeight="1" x14ac:dyDescent="0.2">
      <c r="A8" s="1"/>
      <c r="B8" s="1"/>
      <c r="C8" s="1" t="s">
        <v>125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3</v>
      </c>
      <c r="R8" s="1">
        <v>3</v>
      </c>
      <c r="S8" s="1">
        <v>3</v>
      </c>
      <c r="T8" s="1">
        <v>3</v>
      </c>
      <c r="U8" s="1">
        <v>4</v>
      </c>
      <c r="V8" s="1">
        <v>4</v>
      </c>
      <c r="W8" s="1">
        <v>4</v>
      </c>
      <c r="X8" s="1">
        <v>5</v>
      </c>
      <c r="Y8" s="1">
        <v>5</v>
      </c>
      <c r="Z8" s="1">
        <v>5</v>
      </c>
      <c r="AA8" s="1">
        <v>5</v>
      </c>
      <c r="AB8" s="1">
        <v>5</v>
      </c>
      <c r="AC8" s="1">
        <v>6</v>
      </c>
      <c r="AD8" s="1">
        <v>6</v>
      </c>
      <c r="AE8" s="1">
        <v>6</v>
      </c>
    </row>
    <row r="9" spans="1:31" s="3" customFormat="1" ht="20.100000000000001" customHeight="1" x14ac:dyDescent="0.2">
      <c r="A9" s="20" t="s">
        <v>137</v>
      </c>
      <c r="B9" s="18" t="s">
        <v>24</v>
      </c>
      <c r="C9" s="3" t="s">
        <v>6</v>
      </c>
      <c r="D9" s="3">
        <v>44</v>
      </c>
      <c r="E9" s="3">
        <v>38</v>
      </c>
      <c r="F9" s="3">
        <v>42</v>
      </c>
      <c r="G9" s="3">
        <v>52</v>
      </c>
      <c r="H9" s="3">
        <v>32</v>
      </c>
      <c r="I9" s="3">
        <v>54</v>
      </c>
      <c r="J9" s="3">
        <v>57</v>
      </c>
      <c r="K9" s="3">
        <v>58</v>
      </c>
      <c r="L9" s="3">
        <v>56</v>
      </c>
      <c r="M9" s="3">
        <v>59</v>
      </c>
      <c r="N9" s="3">
        <v>61</v>
      </c>
      <c r="O9" s="3">
        <v>61</v>
      </c>
      <c r="P9" s="3">
        <v>62</v>
      </c>
      <c r="Q9" s="3">
        <v>62</v>
      </c>
      <c r="R9" s="3">
        <v>64</v>
      </c>
      <c r="S9" s="3">
        <v>64</v>
      </c>
      <c r="T9" s="3">
        <v>68</v>
      </c>
      <c r="U9" s="3">
        <v>70</v>
      </c>
      <c r="V9" s="3">
        <v>70</v>
      </c>
      <c r="W9" s="3">
        <v>72</v>
      </c>
      <c r="X9" s="3">
        <v>72</v>
      </c>
      <c r="Y9" s="3">
        <v>74</v>
      </c>
      <c r="Z9" s="3">
        <v>76</v>
      </c>
      <c r="AA9" s="3">
        <v>76</v>
      </c>
      <c r="AB9" s="3">
        <v>76</v>
      </c>
      <c r="AC9" s="3">
        <v>76</v>
      </c>
      <c r="AD9" s="3">
        <v>76</v>
      </c>
      <c r="AE9" s="3">
        <v>88</v>
      </c>
    </row>
    <row r="10" spans="1:31" s="3" customFormat="1" ht="20.100000000000001" customHeight="1" x14ac:dyDescent="0.2">
      <c r="A10" s="20"/>
      <c r="B10" s="18"/>
      <c r="C10" s="3" t="s">
        <v>7</v>
      </c>
      <c r="D10" s="3">
        <v>700</v>
      </c>
      <c r="E10" s="3">
        <v>750</v>
      </c>
      <c r="F10" s="3">
        <v>650</v>
      </c>
      <c r="G10" s="3">
        <v>800</v>
      </c>
      <c r="H10" s="3">
        <v>400</v>
      </c>
      <c r="I10" s="3">
        <v>750</v>
      </c>
      <c r="J10" s="3">
        <v>700</v>
      </c>
      <c r="K10" s="3">
        <v>700</v>
      </c>
      <c r="L10" s="3">
        <v>900</v>
      </c>
      <c r="M10" s="3">
        <v>650</v>
      </c>
      <c r="N10" s="3">
        <v>800</v>
      </c>
      <c r="O10" s="3">
        <v>1100</v>
      </c>
      <c r="P10" s="3">
        <v>1100</v>
      </c>
      <c r="Q10" s="3">
        <v>950</v>
      </c>
      <c r="R10" s="3">
        <v>750</v>
      </c>
      <c r="S10" s="3">
        <v>850</v>
      </c>
      <c r="T10" s="3">
        <v>1050</v>
      </c>
      <c r="U10" s="3">
        <v>1050</v>
      </c>
      <c r="V10" s="3">
        <v>800</v>
      </c>
      <c r="W10" s="3">
        <v>900</v>
      </c>
      <c r="X10" s="3">
        <v>1100</v>
      </c>
      <c r="Y10" s="3">
        <v>1100</v>
      </c>
      <c r="Z10" s="3">
        <v>650</v>
      </c>
      <c r="AA10" s="3">
        <v>1150</v>
      </c>
      <c r="AB10" s="3">
        <v>1150</v>
      </c>
      <c r="AC10" s="3">
        <v>1200</v>
      </c>
      <c r="AD10" s="3">
        <v>1200</v>
      </c>
      <c r="AE10" s="3">
        <v>1400</v>
      </c>
    </row>
    <row r="11" spans="1:31" s="3" customFormat="1" ht="20.100000000000001" customHeight="1" x14ac:dyDescent="0.2">
      <c r="A11" s="20"/>
      <c r="B11" s="18"/>
      <c r="C11" s="3" t="s">
        <v>8</v>
      </c>
      <c r="D11" s="3">
        <v>11</v>
      </c>
      <c r="E11" s="3">
        <v>11</v>
      </c>
      <c r="F11" s="3">
        <v>10</v>
      </c>
      <c r="G11" s="3">
        <v>12</v>
      </c>
      <c r="H11" s="3">
        <v>8</v>
      </c>
      <c r="I11" s="3">
        <v>12</v>
      </c>
      <c r="J11" s="3">
        <v>12</v>
      </c>
      <c r="K11" s="3">
        <v>12</v>
      </c>
      <c r="L11" s="3">
        <v>12</v>
      </c>
      <c r="M11" s="3">
        <v>14</v>
      </c>
      <c r="N11" s="3">
        <v>13</v>
      </c>
      <c r="O11" s="3">
        <v>11</v>
      </c>
      <c r="P11" s="3">
        <v>14</v>
      </c>
      <c r="Q11" s="3">
        <v>13</v>
      </c>
      <c r="R11" s="3">
        <v>12</v>
      </c>
      <c r="S11" s="3">
        <v>12</v>
      </c>
      <c r="T11" s="3">
        <v>15</v>
      </c>
      <c r="U11" s="3">
        <v>12</v>
      </c>
      <c r="V11" s="3">
        <v>16</v>
      </c>
      <c r="W11" s="3">
        <v>12</v>
      </c>
      <c r="X11" s="3">
        <v>13</v>
      </c>
      <c r="Y11" s="3">
        <v>13</v>
      </c>
      <c r="Z11" s="3">
        <v>9</v>
      </c>
      <c r="AA11" s="3">
        <v>14</v>
      </c>
      <c r="AB11" s="3">
        <v>11</v>
      </c>
      <c r="AC11" s="3">
        <v>11</v>
      </c>
      <c r="AD11" s="3">
        <v>11</v>
      </c>
      <c r="AE11" s="3">
        <v>13</v>
      </c>
    </row>
    <row r="12" spans="1:31" s="3" customFormat="1" ht="20.100000000000001" customHeight="1" x14ac:dyDescent="0.2">
      <c r="A12" s="20"/>
      <c r="B12" s="18"/>
      <c r="C12" s="3" t="s">
        <v>9</v>
      </c>
      <c r="D12" s="3" t="s">
        <v>27</v>
      </c>
      <c r="E12" s="3" t="s">
        <v>27</v>
      </c>
      <c r="F12" s="3" t="s">
        <v>27</v>
      </c>
      <c r="G12" s="3" t="s">
        <v>27</v>
      </c>
      <c r="H12" s="3" t="s">
        <v>27</v>
      </c>
      <c r="I12" s="3" t="s">
        <v>27</v>
      </c>
      <c r="J12" s="3" t="s">
        <v>27</v>
      </c>
      <c r="K12" s="3" t="s">
        <v>27</v>
      </c>
      <c r="L12" s="3" t="s">
        <v>138</v>
      </c>
      <c r="M12" s="3" t="s">
        <v>27</v>
      </c>
      <c r="N12" s="3" t="s">
        <v>138</v>
      </c>
      <c r="O12" s="3" t="s">
        <v>138</v>
      </c>
      <c r="P12" s="3" t="s">
        <v>138</v>
      </c>
      <c r="Q12" s="3" t="s">
        <v>138</v>
      </c>
      <c r="R12" s="3" t="s">
        <v>27</v>
      </c>
      <c r="S12" s="3" t="s">
        <v>27</v>
      </c>
      <c r="T12" s="3" t="s">
        <v>138</v>
      </c>
      <c r="U12" s="3" t="s">
        <v>138</v>
      </c>
      <c r="V12" s="3" t="s">
        <v>27</v>
      </c>
      <c r="W12" s="3" t="s">
        <v>27</v>
      </c>
      <c r="X12" s="3" t="s">
        <v>138</v>
      </c>
      <c r="Y12" s="3" t="s">
        <v>138</v>
      </c>
      <c r="Z12" s="3" t="s">
        <v>27</v>
      </c>
      <c r="AA12" s="3" t="s">
        <v>27</v>
      </c>
      <c r="AB12" s="3" t="s">
        <v>138</v>
      </c>
      <c r="AC12" s="3" t="s">
        <v>138</v>
      </c>
      <c r="AD12" s="3" t="s">
        <v>138</v>
      </c>
      <c r="AE12" s="3" t="s">
        <v>138</v>
      </c>
    </row>
    <row r="13" spans="1:31" s="3" customFormat="1" ht="20.100000000000001" customHeight="1" x14ac:dyDescent="0.2">
      <c r="A13" s="20"/>
      <c r="B13" s="18" t="s">
        <v>30</v>
      </c>
      <c r="C13" s="3">
        <v>1</v>
      </c>
    </row>
    <row r="14" spans="1:31" s="3" customFormat="1" ht="20.100000000000001" customHeight="1" x14ac:dyDescent="0.2">
      <c r="A14" s="20"/>
      <c r="B14" s="18"/>
      <c r="C14" s="3">
        <v>2</v>
      </c>
    </row>
    <row r="15" spans="1:31" s="3" customFormat="1" ht="20.100000000000001" customHeight="1" x14ac:dyDescent="0.2">
      <c r="A15" s="20"/>
      <c r="B15" s="18"/>
      <c r="C15" s="3">
        <v>3</v>
      </c>
    </row>
    <row r="16" spans="1:31" s="2" customFormat="1" ht="20.100000000000001" customHeight="1" x14ac:dyDescent="0.2">
      <c r="A16" s="20"/>
    </row>
    <row r="17" spans="1:31" s="3" customFormat="1" ht="20.100000000000001" customHeight="1" x14ac:dyDescent="0.2">
      <c r="A17" s="20"/>
      <c r="B17" s="24" t="s">
        <v>1</v>
      </c>
      <c r="C17" s="3" t="s">
        <v>2</v>
      </c>
      <c r="D17" s="3">
        <v>-0.1</v>
      </c>
      <c r="E17" s="3">
        <v>0</v>
      </c>
      <c r="F17" s="3">
        <v>-0.1</v>
      </c>
      <c r="G17" s="3">
        <v>-0.2</v>
      </c>
      <c r="H17" s="3">
        <v>-0.2</v>
      </c>
      <c r="I17" s="3">
        <v>0.15</v>
      </c>
      <c r="J17" s="3">
        <v>0</v>
      </c>
      <c r="K17" s="3">
        <v>0.2</v>
      </c>
      <c r="L17" s="3">
        <v>0.45</v>
      </c>
      <c r="M17" s="3">
        <v>0.1</v>
      </c>
      <c r="N17" s="3">
        <v>0.2</v>
      </c>
      <c r="O17" s="3">
        <v>0.7</v>
      </c>
      <c r="P17" s="3">
        <v>0.4</v>
      </c>
      <c r="Q17" s="3">
        <v>0.3</v>
      </c>
      <c r="R17" s="3">
        <v>0.3</v>
      </c>
      <c r="S17" s="3">
        <v>0</v>
      </c>
      <c r="T17" s="3">
        <v>0.2</v>
      </c>
      <c r="U17" s="3">
        <v>0.3</v>
      </c>
      <c r="V17" s="3">
        <v>0.1</v>
      </c>
      <c r="W17" s="3">
        <v>0.3</v>
      </c>
      <c r="X17" s="3">
        <v>0.3</v>
      </c>
      <c r="Y17" s="3">
        <v>0.2</v>
      </c>
      <c r="Z17" s="3">
        <v>0</v>
      </c>
      <c r="AA17" s="3">
        <v>0.5</v>
      </c>
      <c r="AB17" s="3">
        <v>0.25</v>
      </c>
      <c r="AC17" s="3">
        <v>0.4</v>
      </c>
      <c r="AD17" s="3">
        <v>0.4</v>
      </c>
      <c r="AE17" s="3">
        <v>0.5</v>
      </c>
    </row>
    <row r="18" spans="1:31" s="3" customFormat="1" ht="20.100000000000001" customHeight="1" x14ac:dyDescent="0.2">
      <c r="A18" s="20"/>
      <c r="B18" s="25"/>
      <c r="C18" s="3" t="s">
        <v>3</v>
      </c>
      <c r="D18" s="3">
        <v>0.45</v>
      </c>
      <c r="E18" s="3">
        <v>0.4</v>
      </c>
      <c r="F18" s="3">
        <v>0.4</v>
      </c>
      <c r="G18" s="3">
        <v>0.5</v>
      </c>
      <c r="H18" s="3">
        <v>0.35</v>
      </c>
      <c r="I18" s="3">
        <v>0.5</v>
      </c>
      <c r="J18" s="3">
        <v>0.45</v>
      </c>
      <c r="K18" s="3">
        <v>0.55000000000000004</v>
      </c>
      <c r="L18" s="3">
        <v>0.45</v>
      </c>
      <c r="M18" s="3">
        <v>0.4</v>
      </c>
      <c r="N18" s="3">
        <v>0.5</v>
      </c>
      <c r="O18" s="3">
        <v>0.5</v>
      </c>
      <c r="P18" s="3">
        <v>0.5</v>
      </c>
      <c r="Q18" s="3">
        <v>0.5</v>
      </c>
      <c r="R18" s="3">
        <v>0.5</v>
      </c>
      <c r="S18" s="3">
        <v>0.55000000000000004</v>
      </c>
      <c r="T18" s="3">
        <v>0.6</v>
      </c>
      <c r="U18" s="3">
        <v>0.5</v>
      </c>
      <c r="V18" s="3">
        <v>0.4</v>
      </c>
      <c r="W18" s="3">
        <v>0.6</v>
      </c>
      <c r="X18" s="3">
        <v>0.6</v>
      </c>
      <c r="Y18" s="3">
        <v>0.6</v>
      </c>
      <c r="Z18" s="3">
        <v>0.7</v>
      </c>
      <c r="AA18" s="3">
        <v>0.6</v>
      </c>
      <c r="AB18" s="3">
        <v>0.6</v>
      </c>
      <c r="AC18" s="3">
        <v>0.65</v>
      </c>
      <c r="AD18" s="3">
        <v>0.65</v>
      </c>
      <c r="AE18" s="3">
        <v>0.7</v>
      </c>
    </row>
    <row r="19" spans="1:31" s="3" customFormat="1" ht="20.100000000000001" customHeight="1" x14ac:dyDescent="0.2">
      <c r="A19" s="20"/>
      <c r="B19" s="25"/>
      <c r="C19" s="3" t="s">
        <v>4</v>
      </c>
      <c r="D19" s="3">
        <v>0.1</v>
      </c>
      <c r="E19" s="3">
        <v>0.15</v>
      </c>
      <c r="F19" s="3">
        <v>0.05</v>
      </c>
      <c r="G19" s="3">
        <v>0.1</v>
      </c>
      <c r="H19" s="3">
        <v>0.3</v>
      </c>
      <c r="I19" s="3">
        <v>0.1</v>
      </c>
      <c r="J19" s="3">
        <v>0.3</v>
      </c>
      <c r="K19" s="3">
        <v>0</v>
      </c>
      <c r="L19" s="3">
        <v>0.1</v>
      </c>
      <c r="M19" s="3">
        <v>0.4</v>
      </c>
      <c r="N19" s="3">
        <v>0.1</v>
      </c>
      <c r="O19" s="3">
        <v>0</v>
      </c>
      <c r="P19" s="3">
        <v>0.1</v>
      </c>
      <c r="Q19" s="3">
        <v>0.1</v>
      </c>
      <c r="R19" s="3">
        <v>0.15</v>
      </c>
      <c r="S19" s="3">
        <v>0.15</v>
      </c>
      <c r="T19" s="3">
        <v>0.15</v>
      </c>
      <c r="U19" s="3">
        <v>0.2</v>
      </c>
      <c r="V19" s="3">
        <v>0.5</v>
      </c>
      <c r="W19" s="3">
        <v>0.15</v>
      </c>
      <c r="X19" s="3">
        <v>0.1</v>
      </c>
      <c r="Y19" s="3">
        <v>0.15</v>
      </c>
      <c r="Z19" s="3">
        <v>0</v>
      </c>
      <c r="AA19" s="3">
        <v>0</v>
      </c>
      <c r="AB19" s="3">
        <v>0.15</v>
      </c>
      <c r="AC19" s="3">
        <v>0.1</v>
      </c>
      <c r="AD19" s="3">
        <v>0.1</v>
      </c>
      <c r="AE19" s="3">
        <v>0.15</v>
      </c>
    </row>
    <row r="20" spans="1:31" s="3" customFormat="1" ht="20.100000000000001" customHeight="1" x14ac:dyDescent="0.2">
      <c r="A20" s="20"/>
      <c r="B20" s="26"/>
      <c r="C20" s="3" t="s">
        <v>5</v>
      </c>
      <c r="D20" s="3">
        <v>0.3</v>
      </c>
      <c r="E20" s="3">
        <v>0.4</v>
      </c>
      <c r="F20" s="3">
        <v>0.2</v>
      </c>
      <c r="G20" s="3">
        <v>0.2</v>
      </c>
      <c r="H20" s="3">
        <v>-0.3</v>
      </c>
      <c r="I20" s="3">
        <v>0.2</v>
      </c>
      <c r="J20" s="3">
        <v>0.5</v>
      </c>
      <c r="K20" s="3">
        <v>0.1</v>
      </c>
      <c r="L20" s="3">
        <v>0.3</v>
      </c>
      <c r="M20" s="3">
        <v>0.5</v>
      </c>
      <c r="N20" s="3">
        <v>0.2</v>
      </c>
      <c r="O20" s="3">
        <v>0.1</v>
      </c>
      <c r="P20" s="3">
        <v>0.4</v>
      </c>
      <c r="Q20" s="3">
        <v>0.2</v>
      </c>
      <c r="R20" s="3">
        <v>0.2</v>
      </c>
      <c r="S20" s="3">
        <v>0</v>
      </c>
      <c r="T20" s="3">
        <v>0.2</v>
      </c>
      <c r="U20" s="3">
        <v>0</v>
      </c>
      <c r="V20" s="3">
        <v>0.5</v>
      </c>
      <c r="W20" s="3">
        <v>0.3</v>
      </c>
      <c r="X20" s="3">
        <v>0.3</v>
      </c>
      <c r="Y20" s="3">
        <v>0</v>
      </c>
      <c r="Z20" s="3">
        <v>0</v>
      </c>
      <c r="AA20" s="3">
        <v>0.2</v>
      </c>
      <c r="AB20" s="3">
        <v>0.25</v>
      </c>
      <c r="AC20" s="3">
        <v>0.4</v>
      </c>
      <c r="AD20" s="3">
        <v>0.2</v>
      </c>
      <c r="AE20" s="3">
        <v>0.3</v>
      </c>
    </row>
    <row r="21" spans="1:31" s="2" customFormat="1" ht="20.100000000000001" customHeight="1" x14ac:dyDescent="0.2">
      <c r="B21" s="10"/>
      <c r="C21" s="10"/>
      <c r="D21" s="10"/>
      <c r="E21" s="10"/>
      <c r="R21" s="2" t="s">
        <v>210</v>
      </c>
    </row>
    <row r="22" spans="1:31" s="4" customFormat="1" ht="20.100000000000001" customHeight="1" x14ac:dyDescent="0.2">
      <c r="A22" s="21" t="s">
        <v>131</v>
      </c>
      <c r="B22" s="39" t="s">
        <v>12</v>
      </c>
      <c r="C22" s="4" t="s">
        <v>13</v>
      </c>
      <c r="D22" s="4">
        <v>5</v>
      </c>
      <c r="E22" s="4">
        <v>5</v>
      </c>
      <c r="F22" s="4">
        <v>5</v>
      </c>
      <c r="G22" s="4">
        <v>5</v>
      </c>
      <c r="H22" s="4">
        <v>5</v>
      </c>
      <c r="I22" s="4">
        <v>5</v>
      </c>
      <c r="J22" s="4">
        <v>6</v>
      </c>
      <c r="K22" s="4">
        <v>6</v>
      </c>
      <c r="L22" s="4">
        <v>6</v>
      </c>
      <c r="M22" s="4">
        <v>6</v>
      </c>
      <c r="N22" s="4">
        <v>6</v>
      </c>
      <c r="O22" s="4">
        <v>6</v>
      </c>
      <c r="P22" s="4">
        <v>6</v>
      </c>
      <c r="Q22" s="4">
        <v>7</v>
      </c>
      <c r="R22" s="4">
        <v>7</v>
      </c>
      <c r="S22" s="4">
        <v>7</v>
      </c>
      <c r="T22" s="4">
        <v>7</v>
      </c>
      <c r="U22" s="4">
        <v>8</v>
      </c>
      <c r="V22" s="4">
        <v>8</v>
      </c>
      <c r="W22" s="4">
        <v>8</v>
      </c>
      <c r="X22" s="4">
        <v>9</v>
      </c>
      <c r="Y22" s="4">
        <v>9</v>
      </c>
      <c r="Z22" s="4">
        <v>9</v>
      </c>
      <c r="AA22" s="4">
        <v>9</v>
      </c>
      <c r="AB22" s="4">
        <v>9</v>
      </c>
      <c r="AC22" s="4">
        <v>9</v>
      </c>
      <c r="AD22" s="4">
        <v>9</v>
      </c>
      <c r="AE22" s="4">
        <v>10</v>
      </c>
    </row>
    <row r="23" spans="1:31" s="4" customFormat="1" ht="20.100000000000001" customHeight="1" x14ac:dyDescent="0.2">
      <c r="A23" s="21"/>
      <c r="B23" s="39"/>
      <c r="C23" s="4" t="s">
        <v>7</v>
      </c>
      <c r="D23" s="4">
        <f t="shared" ref="D23:AE23" si="0">0.7*D28</f>
        <v>489.99999999999994</v>
      </c>
      <c r="E23" s="4">
        <f t="shared" si="0"/>
        <v>525</v>
      </c>
      <c r="F23" s="4">
        <f t="shared" si="0"/>
        <v>454.99999999999994</v>
      </c>
      <c r="G23" s="4">
        <f t="shared" si="0"/>
        <v>560</v>
      </c>
      <c r="H23" s="4">
        <f t="shared" si="0"/>
        <v>280</v>
      </c>
      <c r="I23" s="4">
        <f t="shared" si="0"/>
        <v>525</v>
      </c>
      <c r="J23" s="4">
        <f t="shared" si="0"/>
        <v>489.99999999999994</v>
      </c>
      <c r="K23" s="4">
        <f t="shared" si="0"/>
        <v>489.99999999999994</v>
      </c>
      <c r="L23" s="4">
        <f t="shared" si="0"/>
        <v>630</v>
      </c>
      <c r="M23" s="4">
        <f t="shared" si="0"/>
        <v>454.99999999999994</v>
      </c>
      <c r="N23" s="4">
        <f t="shared" si="0"/>
        <v>560</v>
      </c>
      <c r="O23" s="4">
        <f t="shared" si="0"/>
        <v>770</v>
      </c>
      <c r="P23" s="4">
        <f t="shared" si="0"/>
        <v>770</v>
      </c>
      <c r="Q23" s="4">
        <f t="shared" si="0"/>
        <v>665</v>
      </c>
      <c r="R23" s="4">
        <f t="shared" si="0"/>
        <v>525</v>
      </c>
      <c r="S23" s="4">
        <f t="shared" si="0"/>
        <v>595</v>
      </c>
      <c r="T23" s="4">
        <f t="shared" si="0"/>
        <v>735</v>
      </c>
      <c r="U23" s="4">
        <f t="shared" si="0"/>
        <v>735</v>
      </c>
      <c r="V23" s="4">
        <f t="shared" si="0"/>
        <v>560</v>
      </c>
      <c r="W23" s="4">
        <f t="shared" si="0"/>
        <v>630</v>
      </c>
      <c r="X23" s="4">
        <f t="shared" si="0"/>
        <v>770</v>
      </c>
      <c r="Y23" s="4">
        <f t="shared" si="0"/>
        <v>770</v>
      </c>
      <c r="Z23" s="4">
        <f t="shared" si="0"/>
        <v>454.99999999999994</v>
      </c>
      <c r="AA23" s="4">
        <f t="shared" si="0"/>
        <v>805</v>
      </c>
      <c r="AB23" s="4">
        <f t="shared" si="0"/>
        <v>805</v>
      </c>
      <c r="AC23" s="4">
        <f t="shared" si="0"/>
        <v>840</v>
      </c>
      <c r="AD23" s="4">
        <f t="shared" si="0"/>
        <v>840</v>
      </c>
      <c r="AE23" s="4">
        <f t="shared" si="0"/>
        <v>979.99999999999989</v>
      </c>
    </row>
    <row r="24" spans="1:31" s="4" customFormat="1" ht="20.100000000000001" customHeight="1" x14ac:dyDescent="0.2">
      <c r="A24" s="21"/>
      <c r="B24" s="39"/>
      <c r="C24" s="4" t="s">
        <v>14</v>
      </c>
      <c r="D24" s="4">
        <v>2</v>
      </c>
      <c r="E24" s="4">
        <v>2</v>
      </c>
      <c r="F24" s="4">
        <v>2</v>
      </c>
      <c r="G24" s="4">
        <v>2</v>
      </c>
      <c r="H24" s="4">
        <v>2</v>
      </c>
      <c r="I24" s="4">
        <v>2</v>
      </c>
      <c r="J24" s="4">
        <v>3</v>
      </c>
      <c r="K24" s="4">
        <v>3</v>
      </c>
      <c r="L24" s="4">
        <v>3</v>
      </c>
      <c r="M24" s="4">
        <v>3</v>
      </c>
      <c r="N24" s="4">
        <v>3</v>
      </c>
      <c r="O24" s="4">
        <v>3</v>
      </c>
      <c r="P24" s="4">
        <v>3</v>
      </c>
      <c r="Q24" s="4">
        <v>3</v>
      </c>
      <c r="R24" s="4">
        <v>3</v>
      </c>
      <c r="S24" s="4">
        <v>3</v>
      </c>
      <c r="T24" s="4">
        <v>3</v>
      </c>
      <c r="U24" s="4">
        <v>3</v>
      </c>
      <c r="V24" s="4">
        <v>3</v>
      </c>
      <c r="W24" s="4">
        <v>3</v>
      </c>
      <c r="X24" s="4">
        <v>3</v>
      </c>
      <c r="Y24" s="4">
        <v>3</v>
      </c>
      <c r="Z24" s="4">
        <v>3</v>
      </c>
      <c r="AA24" s="4">
        <v>3</v>
      </c>
      <c r="AB24" s="4">
        <v>3</v>
      </c>
      <c r="AC24" s="4">
        <v>4</v>
      </c>
      <c r="AD24" s="4">
        <v>4</v>
      </c>
      <c r="AE24" s="4">
        <v>5</v>
      </c>
    </row>
    <row r="25" spans="1:31" s="4" customFormat="1" ht="20.100000000000001" customHeight="1" x14ac:dyDescent="0.2">
      <c r="A25" s="21"/>
      <c r="B25" s="39"/>
      <c r="C25" s="4" t="s">
        <v>15</v>
      </c>
      <c r="D25" s="4">
        <v>0.05</v>
      </c>
      <c r="E25" s="4">
        <v>0.05</v>
      </c>
      <c r="F25" s="4">
        <v>0.05</v>
      </c>
      <c r="G25" s="4">
        <v>0.05</v>
      </c>
      <c r="H25" s="4">
        <v>0.05</v>
      </c>
      <c r="I25" s="4">
        <v>0.05</v>
      </c>
      <c r="J25" s="4">
        <v>0.05</v>
      </c>
      <c r="K25" s="4">
        <v>0.05</v>
      </c>
      <c r="L25" s="4">
        <v>0.05</v>
      </c>
      <c r="M25" s="4">
        <v>0.05</v>
      </c>
      <c r="N25" s="4">
        <v>0.05</v>
      </c>
      <c r="O25" s="4">
        <v>0.05</v>
      </c>
      <c r="P25" s="4">
        <v>0.05</v>
      </c>
      <c r="Q25" s="4">
        <v>0.05</v>
      </c>
      <c r="R25" s="4">
        <v>0.05</v>
      </c>
      <c r="S25" s="4">
        <v>0.05</v>
      </c>
      <c r="T25" s="4">
        <v>0.05</v>
      </c>
      <c r="U25" s="4">
        <v>0.1</v>
      </c>
      <c r="V25" s="4">
        <v>0.1</v>
      </c>
      <c r="W25" s="4">
        <v>0.1</v>
      </c>
      <c r="X25" s="4">
        <v>0.1</v>
      </c>
      <c r="Y25" s="4">
        <v>0.1</v>
      </c>
      <c r="Z25" s="4">
        <v>0.1</v>
      </c>
      <c r="AA25" s="4">
        <v>0.1</v>
      </c>
      <c r="AB25" s="4">
        <v>0.1</v>
      </c>
      <c r="AC25" s="4">
        <v>0.1</v>
      </c>
      <c r="AD25" s="4">
        <v>0.1</v>
      </c>
      <c r="AE25" s="4">
        <v>0.1</v>
      </c>
    </row>
    <row r="26" spans="1:31" s="2" customFormat="1" ht="20.100000000000001" customHeight="1" x14ac:dyDescent="0.2">
      <c r="A26" s="21"/>
      <c r="B26" s="12"/>
      <c r="C26" s="10"/>
      <c r="D26" s="10"/>
      <c r="E26" s="10"/>
    </row>
    <row r="27" spans="1:31" s="4" customFormat="1" ht="20.100000000000001" customHeight="1" x14ac:dyDescent="0.2">
      <c r="A27" s="21"/>
      <c r="B27" s="39" t="s">
        <v>16</v>
      </c>
      <c r="C27" s="4" t="s">
        <v>13</v>
      </c>
      <c r="D27" s="4">
        <v>8</v>
      </c>
      <c r="E27" s="4">
        <v>8</v>
      </c>
      <c r="F27" s="4">
        <v>8</v>
      </c>
      <c r="G27" s="4">
        <v>9</v>
      </c>
      <c r="H27" s="4">
        <v>8</v>
      </c>
      <c r="I27" s="4">
        <v>9</v>
      </c>
      <c r="J27" s="4">
        <v>10</v>
      </c>
      <c r="K27" s="4">
        <v>10</v>
      </c>
      <c r="L27" s="4">
        <v>10</v>
      </c>
      <c r="M27" s="4">
        <v>10</v>
      </c>
      <c r="N27" s="4">
        <v>10</v>
      </c>
      <c r="O27" s="4">
        <v>10</v>
      </c>
      <c r="P27" s="4">
        <v>10</v>
      </c>
      <c r="Q27" s="4">
        <v>11</v>
      </c>
      <c r="R27" s="4">
        <v>11</v>
      </c>
      <c r="S27" s="4">
        <v>11</v>
      </c>
      <c r="T27" s="4">
        <v>11</v>
      </c>
      <c r="U27" s="4">
        <v>12</v>
      </c>
      <c r="V27" s="4">
        <v>12</v>
      </c>
      <c r="W27" s="4">
        <v>12</v>
      </c>
      <c r="X27" s="4">
        <v>14</v>
      </c>
      <c r="Y27" s="4">
        <v>14</v>
      </c>
      <c r="Z27" s="4">
        <v>14</v>
      </c>
      <c r="AA27" s="4">
        <v>14</v>
      </c>
      <c r="AB27" s="4">
        <v>14</v>
      </c>
      <c r="AC27" s="4">
        <v>14</v>
      </c>
      <c r="AD27" s="4">
        <v>14</v>
      </c>
      <c r="AE27" s="4">
        <v>15</v>
      </c>
    </row>
    <row r="28" spans="1:31" s="4" customFormat="1" ht="20.100000000000001" customHeight="1" x14ac:dyDescent="0.2">
      <c r="A28" s="21"/>
      <c r="B28" s="39"/>
      <c r="C28" s="4" t="s">
        <v>7</v>
      </c>
      <c r="D28" s="4">
        <f t="shared" ref="D28:AE28" si="1">D10</f>
        <v>700</v>
      </c>
      <c r="E28" s="4">
        <f t="shared" si="1"/>
        <v>750</v>
      </c>
      <c r="F28" s="4">
        <f t="shared" si="1"/>
        <v>650</v>
      </c>
      <c r="G28" s="4">
        <f t="shared" si="1"/>
        <v>800</v>
      </c>
      <c r="H28" s="4">
        <f t="shared" si="1"/>
        <v>400</v>
      </c>
      <c r="I28" s="4">
        <f t="shared" si="1"/>
        <v>750</v>
      </c>
      <c r="J28" s="4">
        <f t="shared" si="1"/>
        <v>700</v>
      </c>
      <c r="K28" s="4">
        <f t="shared" si="1"/>
        <v>700</v>
      </c>
      <c r="L28" s="4">
        <f t="shared" si="1"/>
        <v>900</v>
      </c>
      <c r="M28" s="4">
        <f t="shared" si="1"/>
        <v>650</v>
      </c>
      <c r="N28" s="4">
        <f t="shared" si="1"/>
        <v>800</v>
      </c>
      <c r="O28" s="4">
        <f t="shared" si="1"/>
        <v>1100</v>
      </c>
      <c r="P28" s="4">
        <f t="shared" si="1"/>
        <v>1100</v>
      </c>
      <c r="Q28" s="4">
        <f t="shared" si="1"/>
        <v>950</v>
      </c>
      <c r="R28" s="4">
        <f t="shared" si="1"/>
        <v>750</v>
      </c>
      <c r="S28" s="4">
        <f t="shared" si="1"/>
        <v>850</v>
      </c>
      <c r="T28" s="4">
        <f t="shared" si="1"/>
        <v>1050</v>
      </c>
      <c r="U28" s="4">
        <f t="shared" si="1"/>
        <v>1050</v>
      </c>
      <c r="V28" s="4">
        <f t="shared" si="1"/>
        <v>800</v>
      </c>
      <c r="W28" s="4">
        <f t="shared" si="1"/>
        <v>900</v>
      </c>
      <c r="X28" s="4">
        <f t="shared" si="1"/>
        <v>1100</v>
      </c>
      <c r="Y28" s="4">
        <f t="shared" si="1"/>
        <v>1100</v>
      </c>
      <c r="Z28" s="4">
        <f t="shared" si="1"/>
        <v>650</v>
      </c>
      <c r="AA28" s="4">
        <f t="shared" si="1"/>
        <v>1150</v>
      </c>
      <c r="AB28" s="4">
        <f t="shared" si="1"/>
        <v>1150</v>
      </c>
      <c r="AC28" s="4">
        <f t="shared" si="1"/>
        <v>1200</v>
      </c>
      <c r="AD28" s="4">
        <f t="shared" si="1"/>
        <v>1200</v>
      </c>
      <c r="AE28" s="4">
        <f t="shared" si="1"/>
        <v>1400</v>
      </c>
    </row>
    <row r="29" spans="1:31" s="4" customFormat="1" ht="20.100000000000001" customHeight="1" x14ac:dyDescent="0.2">
      <c r="A29" s="21"/>
      <c r="B29" s="39"/>
      <c r="C29" s="4" t="s">
        <v>14</v>
      </c>
      <c r="D29" s="4">
        <v>2</v>
      </c>
      <c r="E29" s="4">
        <v>2</v>
      </c>
      <c r="F29" s="4">
        <v>2</v>
      </c>
      <c r="G29" s="4">
        <v>2</v>
      </c>
      <c r="H29" s="4">
        <v>2</v>
      </c>
      <c r="I29" s="4">
        <v>2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T29" s="4">
        <v>3</v>
      </c>
      <c r="U29" s="4">
        <v>3</v>
      </c>
      <c r="V29" s="4">
        <v>3</v>
      </c>
      <c r="W29" s="4">
        <v>3</v>
      </c>
      <c r="X29" s="4">
        <v>3</v>
      </c>
      <c r="Y29" s="4">
        <v>3</v>
      </c>
      <c r="Z29" s="4">
        <v>3</v>
      </c>
      <c r="AA29" s="4">
        <v>3</v>
      </c>
      <c r="AB29" s="4">
        <v>3</v>
      </c>
      <c r="AC29" s="4">
        <v>4</v>
      </c>
      <c r="AD29" s="4">
        <v>4</v>
      </c>
      <c r="AE29" s="4">
        <v>5</v>
      </c>
    </row>
    <row r="30" spans="1:31" s="4" customFormat="1" ht="20.100000000000001" customHeight="1" x14ac:dyDescent="0.2">
      <c r="A30" s="21"/>
      <c r="B30" s="39"/>
      <c r="C30" s="4" t="s">
        <v>15</v>
      </c>
      <c r="D30" s="4">
        <v>0.05</v>
      </c>
      <c r="E30" s="4">
        <v>0.05</v>
      </c>
      <c r="F30" s="4">
        <v>0.05</v>
      </c>
      <c r="G30" s="4">
        <v>0.05</v>
      </c>
      <c r="H30" s="4">
        <v>0.05</v>
      </c>
      <c r="I30" s="4">
        <v>0.05</v>
      </c>
      <c r="J30" s="4">
        <v>0.05</v>
      </c>
      <c r="K30" s="4">
        <v>0.05</v>
      </c>
      <c r="L30" s="4">
        <v>0.05</v>
      </c>
      <c r="M30" s="4">
        <v>0.05</v>
      </c>
      <c r="N30" s="4">
        <v>0.05</v>
      </c>
      <c r="O30" s="4">
        <v>0.05</v>
      </c>
      <c r="P30" s="4">
        <v>0.05</v>
      </c>
      <c r="Q30" s="4">
        <v>0.05</v>
      </c>
      <c r="R30" s="4">
        <v>0.05</v>
      </c>
      <c r="S30" s="4">
        <v>0.05</v>
      </c>
      <c r="T30" s="4">
        <v>0.05</v>
      </c>
      <c r="U30" s="4">
        <v>0.1</v>
      </c>
      <c r="V30" s="4">
        <v>0.1</v>
      </c>
      <c r="W30" s="4">
        <v>0.1</v>
      </c>
      <c r="X30" s="4">
        <v>0.1</v>
      </c>
      <c r="Y30" s="4">
        <v>0.1</v>
      </c>
      <c r="Z30" s="4">
        <v>0.1</v>
      </c>
      <c r="AA30" s="4">
        <v>0.1</v>
      </c>
      <c r="AB30" s="4">
        <v>0.1</v>
      </c>
      <c r="AC30" s="4">
        <v>0.1</v>
      </c>
      <c r="AD30" s="4">
        <v>0.1</v>
      </c>
      <c r="AE30" s="4">
        <v>0.1</v>
      </c>
    </row>
    <row r="31" spans="1:31" s="2" customFormat="1" ht="20.100000000000001" customHeight="1" x14ac:dyDescent="0.2">
      <c r="A31" s="21"/>
      <c r="B31" s="13"/>
      <c r="C31" s="9"/>
      <c r="D31" s="9"/>
      <c r="E31" s="9"/>
    </row>
    <row r="32" spans="1:31" s="4" customFormat="1" ht="20.100000000000001" customHeight="1" x14ac:dyDescent="0.2">
      <c r="A32" s="21"/>
      <c r="B32" s="36" t="s">
        <v>17</v>
      </c>
      <c r="C32" s="4" t="s">
        <v>13</v>
      </c>
      <c r="D32" s="4">
        <v>7</v>
      </c>
      <c r="E32" s="4">
        <v>7</v>
      </c>
      <c r="F32" s="4">
        <v>7</v>
      </c>
      <c r="G32" s="4">
        <v>8</v>
      </c>
      <c r="H32" s="4">
        <v>7</v>
      </c>
      <c r="I32" s="4">
        <v>8</v>
      </c>
      <c r="J32" s="4">
        <v>9</v>
      </c>
      <c r="K32" s="4">
        <v>9</v>
      </c>
      <c r="L32" s="4">
        <v>9</v>
      </c>
      <c r="M32" s="4">
        <v>9</v>
      </c>
      <c r="N32" s="4">
        <v>9</v>
      </c>
      <c r="O32" s="4">
        <v>9</v>
      </c>
      <c r="P32" s="4">
        <v>9</v>
      </c>
      <c r="Q32" s="4">
        <v>10</v>
      </c>
      <c r="R32" s="4">
        <v>10</v>
      </c>
      <c r="S32" s="4">
        <v>10</v>
      </c>
      <c r="T32" s="4">
        <v>10</v>
      </c>
      <c r="U32" s="4">
        <v>11</v>
      </c>
      <c r="V32" s="4">
        <v>11</v>
      </c>
      <c r="W32" s="4">
        <v>11</v>
      </c>
      <c r="X32" s="4">
        <v>12</v>
      </c>
      <c r="Y32" s="4">
        <v>12</v>
      </c>
      <c r="Z32" s="4">
        <v>12</v>
      </c>
      <c r="AA32" s="4">
        <v>12</v>
      </c>
      <c r="AB32" s="4">
        <v>12</v>
      </c>
      <c r="AC32" s="4">
        <v>12</v>
      </c>
      <c r="AD32" s="4">
        <v>12</v>
      </c>
      <c r="AE32" s="4">
        <v>13</v>
      </c>
    </row>
    <row r="33" spans="1:31" s="4" customFormat="1" ht="20.100000000000001" customHeight="1" x14ac:dyDescent="0.2">
      <c r="A33" s="21"/>
      <c r="B33" s="37"/>
      <c r="C33" s="4" t="s">
        <v>7</v>
      </c>
      <c r="D33" s="4">
        <f t="shared" ref="D33:AE33" si="2">0.9*D28</f>
        <v>630</v>
      </c>
      <c r="E33" s="4">
        <f t="shared" si="2"/>
        <v>675</v>
      </c>
      <c r="F33" s="4">
        <f t="shared" si="2"/>
        <v>585</v>
      </c>
      <c r="G33" s="4">
        <f t="shared" si="2"/>
        <v>720</v>
      </c>
      <c r="H33" s="4">
        <f t="shared" si="2"/>
        <v>360</v>
      </c>
      <c r="I33" s="4">
        <f t="shared" si="2"/>
        <v>675</v>
      </c>
      <c r="J33" s="4">
        <f t="shared" si="2"/>
        <v>630</v>
      </c>
      <c r="K33" s="4">
        <f t="shared" si="2"/>
        <v>630</v>
      </c>
      <c r="L33" s="4">
        <f t="shared" si="2"/>
        <v>810</v>
      </c>
      <c r="M33" s="4">
        <f t="shared" si="2"/>
        <v>585</v>
      </c>
      <c r="N33" s="4">
        <f t="shared" si="2"/>
        <v>720</v>
      </c>
      <c r="O33" s="4">
        <f t="shared" si="2"/>
        <v>990</v>
      </c>
      <c r="P33" s="4">
        <f t="shared" si="2"/>
        <v>990</v>
      </c>
      <c r="Q33" s="4">
        <f t="shared" si="2"/>
        <v>855</v>
      </c>
      <c r="R33" s="4">
        <f t="shared" si="2"/>
        <v>675</v>
      </c>
      <c r="S33" s="4">
        <f t="shared" si="2"/>
        <v>765</v>
      </c>
      <c r="T33" s="4">
        <f t="shared" si="2"/>
        <v>945</v>
      </c>
      <c r="U33" s="4">
        <f t="shared" si="2"/>
        <v>945</v>
      </c>
      <c r="V33" s="4">
        <f t="shared" si="2"/>
        <v>720</v>
      </c>
      <c r="W33" s="4">
        <f t="shared" si="2"/>
        <v>810</v>
      </c>
      <c r="X33" s="4">
        <f t="shared" si="2"/>
        <v>990</v>
      </c>
      <c r="Y33" s="4">
        <f t="shared" si="2"/>
        <v>990</v>
      </c>
      <c r="Z33" s="4">
        <f t="shared" si="2"/>
        <v>585</v>
      </c>
      <c r="AA33" s="4">
        <f t="shared" si="2"/>
        <v>1035</v>
      </c>
      <c r="AB33" s="4">
        <f t="shared" si="2"/>
        <v>1035</v>
      </c>
      <c r="AC33" s="4">
        <f t="shared" si="2"/>
        <v>1080</v>
      </c>
      <c r="AD33" s="4">
        <f t="shared" si="2"/>
        <v>1080</v>
      </c>
      <c r="AE33" s="4">
        <f t="shared" si="2"/>
        <v>1260</v>
      </c>
    </row>
    <row r="34" spans="1:31" s="4" customFormat="1" ht="20.100000000000001" customHeight="1" x14ac:dyDescent="0.2">
      <c r="A34" s="21"/>
      <c r="B34" s="37"/>
      <c r="C34" s="4" t="s">
        <v>14</v>
      </c>
      <c r="D34" s="4">
        <v>2</v>
      </c>
      <c r="E34" s="4">
        <v>2</v>
      </c>
      <c r="F34" s="4">
        <v>2</v>
      </c>
      <c r="G34" s="4">
        <v>2</v>
      </c>
      <c r="H34" s="4">
        <v>2</v>
      </c>
      <c r="I34" s="4">
        <v>2</v>
      </c>
      <c r="J34" s="4">
        <v>3</v>
      </c>
      <c r="K34" s="4">
        <v>3</v>
      </c>
      <c r="L34" s="4">
        <v>3</v>
      </c>
      <c r="M34" s="4">
        <v>3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3</v>
      </c>
      <c r="Y34" s="4">
        <v>3</v>
      </c>
      <c r="Z34" s="4">
        <v>3</v>
      </c>
      <c r="AA34" s="4">
        <v>3</v>
      </c>
      <c r="AB34" s="4">
        <v>3</v>
      </c>
      <c r="AC34" s="4">
        <v>4</v>
      </c>
      <c r="AD34" s="4">
        <v>4</v>
      </c>
      <c r="AE34" s="4">
        <v>5</v>
      </c>
    </row>
    <row r="35" spans="1:31" s="4" customFormat="1" ht="20.100000000000001" customHeight="1" x14ac:dyDescent="0.2">
      <c r="A35" s="21"/>
      <c r="B35" s="38"/>
      <c r="C35" s="4" t="s">
        <v>15</v>
      </c>
      <c r="D35" s="4">
        <v>0.05</v>
      </c>
      <c r="E35" s="4">
        <v>0.05</v>
      </c>
      <c r="F35" s="4">
        <v>0.05</v>
      </c>
      <c r="G35" s="4">
        <v>0.05</v>
      </c>
      <c r="H35" s="4">
        <v>0.05</v>
      </c>
      <c r="I35" s="4">
        <v>0.05</v>
      </c>
      <c r="J35" s="4">
        <v>0.05</v>
      </c>
      <c r="K35" s="4">
        <v>0.05</v>
      </c>
      <c r="L35" s="4">
        <v>0.05</v>
      </c>
      <c r="M35" s="4">
        <v>0.05</v>
      </c>
      <c r="N35" s="4">
        <v>0.05</v>
      </c>
      <c r="O35" s="4">
        <v>0.05</v>
      </c>
      <c r="P35" s="4">
        <v>0.05</v>
      </c>
      <c r="Q35" s="4">
        <v>0.05</v>
      </c>
      <c r="R35" s="4">
        <v>0.05</v>
      </c>
      <c r="S35" s="4">
        <v>0.05</v>
      </c>
      <c r="T35" s="4">
        <v>0.05</v>
      </c>
      <c r="U35" s="4">
        <v>0.1</v>
      </c>
      <c r="V35" s="4">
        <v>0.1</v>
      </c>
      <c r="W35" s="4">
        <v>0.1</v>
      </c>
      <c r="X35" s="4">
        <v>0.1</v>
      </c>
      <c r="Y35" s="4">
        <v>0.1</v>
      </c>
      <c r="Z35" s="4">
        <v>0.1</v>
      </c>
      <c r="AA35" s="4">
        <v>0.1</v>
      </c>
      <c r="AB35" s="4">
        <v>0.1</v>
      </c>
      <c r="AC35" s="4">
        <v>0.1</v>
      </c>
      <c r="AD35" s="4">
        <v>0.1</v>
      </c>
      <c r="AE35" s="4">
        <v>0.1</v>
      </c>
    </row>
    <row r="36" spans="1:31" s="2" customFormat="1" ht="20.100000000000001" customHeight="1" x14ac:dyDescent="0.2">
      <c r="A36" s="21"/>
      <c r="B36" s="14"/>
      <c r="C36" s="1"/>
      <c r="D36" s="1"/>
      <c r="E36" s="1"/>
    </row>
    <row r="37" spans="1:31" s="4" customFormat="1" ht="20.100000000000001" customHeight="1" x14ac:dyDescent="0.2">
      <c r="A37" s="21"/>
      <c r="B37" s="36" t="s">
        <v>18</v>
      </c>
      <c r="C37" s="4" t="s">
        <v>13</v>
      </c>
      <c r="D37" s="4">
        <v>4</v>
      </c>
      <c r="E37" s="4">
        <v>4</v>
      </c>
      <c r="F37" s="4">
        <v>4</v>
      </c>
      <c r="G37" s="4">
        <v>4</v>
      </c>
      <c r="H37" s="4">
        <v>4</v>
      </c>
      <c r="I37" s="4">
        <v>4</v>
      </c>
      <c r="J37" s="4">
        <v>5</v>
      </c>
      <c r="K37" s="4">
        <v>5</v>
      </c>
      <c r="L37" s="4">
        <v>5</v>
      </c>
      <c r="M37" s="4">
        <v>5</v>
      </c>
      <c r="N37" s="4">
        <v>5</v>
      </c>
      <c r="O37" s="4">
        <v>5</v>
      </c>
      <c r="P37" s="4">
        <v>5</v>
      </c>
      <c r="Q37" s="4">
        <v>6</v>
      </c>
      <c r="R37" s="4">
        <v>6</v>
      </c>
      <c r="S37" s="4">
        <v>6</v>
      </c>
      <c r="T37" s="4">
        <v>6</v>
      </c>
      <c r="U37" s="4">
        <v>6</v>
      </c>
      <c r="V37" s="4">
        <v>6</v>
      </c>
      <c r="W37" s="4">
        <v>6</v>
      </c>
      <c r="X37" s="4">
        <v>7</v>
      </c>
      <c r="Y37" s="4">
        <v>7</v>
      </c>
      <c r="Z37" s="4">
        <v>7</v>
      </c>
      <c r="AA37" s="4">
        <v>7</v>
      </c>
      <c r="AB37" s="4">
        <v>7</v>
      </c>
      <c r="AC37" s="4">
        <v>7</v>
      </c>
      <c r="AD37" s="4">
        <v>7</v>
      </c>
      <c r="AE37" s="4">
        <v>8</v>
      </c>
    </row>
    <row r="38" spans="1:31" s="4" customFormat="1" ht="20.100000000000001" customHeight="1" x14ac:dyDescent="0.2">
      <c r="A38" s="21"/>
      <c r="B38" s="37"/>
      <c r="C38" s="4" t="s">
        <v>7</v>
      </c>
      <c r="D38" s="4">
        <f t="shared" ref="D38:AE38" si="3">0.6*D28</f>
        <v>420</v>
      </c>
      <c r="E38" s="4">
        <f t="shared" si="3"/>
        <v>450</v>
      </c>
      <c r="F38" s="4">
        <f t="shared" si="3"/>
        <v>390</v>
      </c>
      <c r="G38" s="4">
        <f t="shared" si="3"/>
        <v>480</v>
      </c>
      <c r="H38" s="4">
        <f t="shared" si="3"/>
        <v>240</v>
      </c>
      <c r="I38" s="4">
        <f t="shared" si="3"/>
        <v>450</v>
      </c>
      <c r="J38" s="4">
        <f t="shared" si="3"/>
        <v>420</v>
      </c>
      <c r="K38" s="4">
        <f t="shared" si="3"/>
        <v>420</v>
      </c>
      <c r="L38" s="4">
        <f t="shared" si="3"/>
        <v>540</v>
      </c>
      <c r="M38" s="4">
        <f t="shared" si="3"/>
        <v>390</v>
      </c>
      <c r="N38" s="4">
        <f t="shared" si="3"/>
        <v>480</v>
      </c>
      <c r="O38" s="4">
        <f t="shared" si="3"/>
        <v>660</v>
      </c>
      <c r="P38" s="4">
        <f t="shared" si="3"/>
        <v>660</v>
      </c>
      <c r="Q38" s="4">
        <f t="shared" si="3"/>
        <v>570</v>
      </c>
      <c r="R38" s="4">
        <f t="shared" si="3"/>
        <v>450</v>
      </c>
      <c r="S38" s="4">
        <f t="shared" si="3"/>
        <v>510</v>
      </c>
      <c r="T38" s="4">
        <f t="shared" si="3"/>
        <v>630</v>
      </c>
      <c r="U38" s="4">
        <f t="shared" si="3"/>
        <v>630</v>
      </c>
      <c r="V38" s="4">
        <f t="shared" si="3"/>
        <v>480</v>
      </c>
      <c r="W38" s="4">
        <f t="shared" si="3"/>
        <v>540</v>
      </c>
      <c r="X38" s="4">
        <f t="shared" si="3"/>
        <v>660</v>
      </c>
      <c r="Y38" s="4">
        <f t="shared" si="3"/>
        <v>660</v>
      </c>
      <c r="Z38" s="4">
        <f t="shared" si="3"/>
        <v>390</v>
      </c>
      <c r="AA38" s="4">
        <f t="shared" si="3"/>
        <v>690</v>
      </c>
      <c r="AB38" s="4">
        <f t="shared" si="3"/>
        <v>690</v>
      </c>
      <c r="AC38" s="4">
        <f t="shared" si="3"/>
        <v>720</v>
      </c>
      <c r="AD38" s="4">
        <f t="shared" si="3"/>
        <v>720</v>
      </c>
      <c r="AE38" s="4">
        <f t="shared" si="3"/>
        <v>840</v>
      </c>
    </row>
    <row r="39" spans="1:31" s="4" customFormat="1" ht="20.100000000000001" customHeight="1" x14ac:dyDescent="0.2">
      <c r="A39" s="21"/>
      <c r="B39" s="37"/>
      <c r="C39" s="4" t="s">
        <v>14</v>
      </c>
      <c r="D39" s="4">
        <v>2</v>
      </c>
      <c r="E39" s="4">
        <v>2</v>
      </c>
      <c r="F39" s="4">
        <v>2</v>
      </c>
      <c r="G39" s="4">
        <v>2</v>
      </c>
      <c r="H39" s="4">
        <v>2</v>
      </c>
      <c r="I39" s="4">
        <v>2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3</v>
      </c>
      <c r="X39" s="4">
        <v>3</v>
      </c>
      <c r="Y39" s="4">
        <v>3</v>
      </c>
      <c r="Z39" s="4">
        <v>3</v>
      </c>
      <c r="AA39" s="4">
        <v>3</v>
      </c>
      <c r="AB39" s="4">
        <v>3</v>
      </c>
      <c r="AC39" s="4">
        <v>4</v>
      </c>
      <c r="AD39" s="4">
        <v>4</v>
      </c>
      <c r="AE39" s="4">
        <v>5</v>
      </c>
    </row>
    <row r="40" spans="1:31" s="4" customFormat="1" ht="20.100000000000001" customHeight="1" x14ac:dyDescent="0.2">
      <c r="A40" s="21"/>
      <c r="B40" s="38"/>
      <c r="C40" s="4" t="s">
        <v>15</v>
      </c>
      <c r="D40" s="4">
        <v>0.05</v>
      </c>
      <c r="E40" s="4">
        <v>0.05</v>
      </c>
      <c r="F40" s="4">
        <v>0.05</v>
      </c>
      <c r="G40" s="4">
        <v>0.05</v>
      </c>
      <c r="H40" s="4">
        <v>0.05</v>
      </c>
      <c r="I40" s="4">
        <v>0.05</v>
      </c>
      <c r="J40" s="4">
        <v>0.05</v>
      </c>
      <c r="K40" s="4">
        <v>0.05</v>
      </c>
      <c r="L40" s="4">
        <v>0.05</v>
      </c>
      <c r="M40" s="4">
        <v>0.05</v>
      </c>
      <c r="N40" s="4">
        <v>0.05</v>
      </c>
      <c r="O40" s="4">
        <v>0.05</v>
      </c>
      <c r="P40" s="4">
        <v>0.05</v>
      </c>
      <c r="Q40" s="4">
        <v>0.05</v>
      </c>
      <c r="R40" s="4">
        <v>0.05</v>
      </c>
      <c r="S40" s="4">
        <v>0.05</v>
      </c>
      <c r="T40" s="4">
        <v>0.05</v>
      </c>
      <c r="U40" s="4">
        <v>0.1</v>
      </c>
      <c r="V40" s="4">
        <v>0.1</v>
      </c>
      <c r="W40" s="4">
        <v>0.1</v>
      </c>
      <c r="X40" s="4">
        <v>0.1</v>
      </c>
      <c r="Y40" s="4">
        <v>0.1</v>
      </c>
      <c r="Z40" s="4">
        <v>0.1</v>
      </c>
      <c r="AA40" s="4">
        <v>0.1</v>
      </c>
      <c r="AB40" s="4">
        <v>0.1</v>
      </c>
      <c r="AC40" s="4">
        <v>0.1</v>
      </c>
      <c r="AD40" s="4">
        <v>0.1</v>
      </c>
      <c r="AE40" s="4">
        <v>0.1</v>
      </c>
    </row>
    <row r="41" spans="1:31" s="2" customFormat="1" ht="20.100000000000001" customHeight="1" x14ac:dyDescent="0.2">
      <c r="A41" s="21"/>
      <c r="B41" s="14"/>
      <c r="C41" s="1"/>
      <c r="D41" s="1"/>
      <c r="E41" s="1"/>
    </row>
    <row r="42" spans="1:31" s="4" customFormat="1" ht="20.100000000000001" customHeight="1" x14ac:dyDescent="0.2">
      <c r="A42" s="21"/>
      <c r="B42" s="36" t="s">
        <v>19</v>
      </c>
      <c r="C42" s="4" t="s">
        <v>7</v>
      </c>
    </row>
    <row r="43" spans="1:31" s="4" customFormat="1" ht="20.100000000000001" customHeight="1" x14ac:dyDescent="0.2">
      <c r="A43" s="21"/>
      <c r="B43" s="37"/>
      <c r="C43" s="4" t="s">
        <v>14</v>
      </c>
      <c r="D43" s="4">
        <v>2</v>
      </c>
      <c r="E43" s="4">
        <v>2</v>
      </c>
      <c r="F43" s="4">
        <v>2</v>
      </c>
      <c r="G43" s="4">
        <v>2</v>
      </c>
      <c r="H43" s="4">
        <v>2</v>
      </c>
      <c r="I43" s="4">
        <v>2</v>
      </c>
      <c r="J43" s="4">
        <v>3</v>
      </c>
      <c r="K43" s="4">
        <v>3</v>
      </c>
      <c r="L43" s="4">
        <v>3</v>
      </c>
      <c r="M43" s="4">
        <v>3</v>
      </c>
      <c r="N43" s="4">
        <v>3</v>
      </c>
      <c r="O43" s="4">
        <v>3</v>
      </c>
      <c r="P43" s="4">
        <v>3</v>
      </c>
      <c r="Q43" s="4">
        <v>3</v>
      </c>
      <c r="R43" s="4">
        <v>3</v>
      </c>
      <c r="S43" s="4">
        <v>3</v>
      </c>
      <c r="T43" s="4">
        <v>3</v>
      </c>
      <c r="U43" s="4">
        <v>3</v>
      </c>
      <c r="V43" s="4">
        <v>3</v>
      </c>
      <c r="W43" s="4">
        <v>3</v>
      </c>
      <c r="X43" s="4">
        <v>3</v>
      </c>
      <c r="Y43" s="4">
        <v>3</v>
      </c>
      <c r="Z43" s="4">
        <v>3</v>
      </c>
      <c r="AA43" s="4">
        <v>3</v>
      </c>
      <c r="AB43" s="4">
        <v>3</v>
      </c>
      <c r="AC43" s="4">
        <v>4</v>
      </c>
      <c r="AD43" s="4">
        <v>4</v>
      </c>
      <c r="AE43" s="4">
        <v>5</v>
      </c>
    </row>
    <row r="44" spans="1:31" s="4" customFormat="1" ht="20.100000000000001" customHeight="1" x14ac:dyDescent="0.2">
      <c r="A44" s="21"/>
      <c r="B44" s="38"/>
      <c r="C44" s="4" t="s">
        <v>15</v>
      </c>
      <c r="D44" s="4">
        <v>0.05</v>
      </c>
      <c r="E44" s="4">
        <v>0.05</v>
      </c>
      <c r="F44" s="4">
        <v>0.05</v>
      </c>
      <c r="G44" s="4">
        <v>0.05</v>
      </c>
      <c r="H44" s="4">
        <v>0.05</v>
      </c>
      <c r="I44" s="4">
        <v>0.05</v>
      </c>
      <c r="J44" s="4">
        <v>0.05</v>
      </c>
      <c r="K44" s="4">
        <v>0.05</v>
      </c>
      <c r="L44" s="4">
        <v>0.05</v>
      </c>
      <c r="M44" s="4">
        <v>0.05</v>
      </c>
      <c r="N44" s="4">
        <v>0.05</v>
      </c>
      <c r="O44" s="4">
        <v>0.05</v>
      </c>
      <c r="P44" s="4">
        <v>0.05</v>
      </c>
      <c r="Q44" s="4">
        <v>0.05</v>
      </c>
      <c r="R44" s="4">
        <v>0.05</v>
      </c>
      <c r="S44" s="4">
        <v>0.05</v>
      </c>
      <c r="T44" s="4">
        <v>0.05</v>
      </c>
      <c r="U44" s="4">
        <v>0.1</v>
      </c>
      <c r="V44" s="4">
        <v>0.1</v>
      </c>
      <c r="W44" s="4">
        <v>0.1</v>
      </c>
      <c r="X44" s="4">
        <v>0.1</v>
      </c>
      <c r="Y44" s="4">
        <v>0.1</v>
      </c>
      <c r="Z44" s="4">
        <v>0.1</v>
      </c>
      <c r="AA44" s="4">
        <v>0.1</v>
      </c>
      <c r="AB44" s="4">
        <v>0.1</v>
      </c>
      <c r="AC44" s="4">
        <v>0.1</v>
      </c>
      <c r="AD44" s="4">
        <v>0.1</v>
      </c>
      <c r="AE44" s="4">
        <v>0.1</v>
      </c>
    </row>
    <row r="45" spans="1:31" s="2" customFormat="1" ht="20.100000000000001" customHeight="1" x14ac:dyDescent="0.2">
      <c r="A45" s="21"/>
      <c r="D45" s="7"/>
      <c r="E45" s="7"/>
    </row>
    <row r="46" spans="1:31" s="4" customFormat="1" ht="20.100000000000001" customHeight="1" x14ac:dyDescent="0.2">
      <c r="A46" s="21"/>
      <c r="B46" s="36" t="s">
        <v>30</v>
      </c>
      <c r="C46" s="4">
        <v>1</v>
      </c>
    </row>
    <row r="47" spans="1:31" s="4" customFormat="1" ht="20.100000000000001" customHeight="1" x14ac:dyDescent="0.2">
      <c r="A47" s="21"/>
      <c r="B47" s="37"/>
      <c r="C47" s="4">
        <v>2</v>
      </c>
    </row>
    <row r="48" spans="1:31" s="4" customFormat="1" ht="20.100000000000001" customHeight="1" x14ac:dyDescent="0.2">
      <c r="A48" s="21"/>
      <c r="B48" s="38"/>
      <c r="C48" s="4">
        <v>3</v>
      </c>
    </row>
    <row r="49" spans="1:31" s="2" customFormat="1" ht="20.100000000000001" customHeight="1" x14ac:dyDescent="0.2">
      <c r="A49" s="21"/>
      <c r="B49" s="15"/>
      <c r="C49" s="7"/>
      <c r="D49" s="8"/>
      <c r="E49" s="8"/>
    </row>
    <row r="50" spans="1:31" s="4" customFormat="1" ht="20.100000000000001" customHeight="1" x14ac:dyDescent="0.2">
      <c r="A50" s="21"/>
      <c r="B50" s="36" t="s">
        <v>28</v>
      </c>
      <c r="C50" s="4" t="s">
        <v>29</v>
      </c>
      <c r="D50" s="4">
        <f t="shared" ref="D50:P50" si="4">D22+D27+D32+D37</f>
        <v>24</v>
      </c>
      <c r="E50" s="4">
        <f t="shared" si="4"/>
        <v>24</v>
      </c>
      <c r="F50" s="4">
        <f t="shared" si="4"/>
        <v>24</v>
      </c>
      <c r="G50" s="4">
        <f t="shared" si="4"/>
        <v>26</v>
      </c>
      <c r="H50" s="4">
        <f t="shared" si="4"/>
        <v>24</v>
      </c>
      <c r="I50" s="4">
        <f t="shared" si="4"/>
        <v>26</v>
      </c>
      <c r="J50" s="4">
        <f t="shared" si="4"/>
        <v>30</v>
      </c>
      <c r="K50" s="4">
        <f t="shared" si="4"/>
        <v>30</v>
      </c>
      <c r="L50" s="4">
        <f t="shared" si="4"/>
        <v>30</v>
      </c>
      <c r="M50" s="4">
        <f t="shared" si="4"/>
        <v>30</v>
      </c>
      <c r="N50" s="4">
        <f t="shared" si="4"/>
        <v>30</v>
      </c>
      <c r="O50" s="4">
        <f t="shared" si="4"/>
        <v>30</v>
      </c>
      <c r="P50" s="4">
        <f t="shared" si="4"/>
        <v>30</v>
      </c>
      <c r="Q50" s="4">
        <f t="shared" ref="Q50:AE50" si="5">Q22+Q27+Q32+Q37</f>
        <v>34</v>
      </c>
      <c r="R50" s="4">
        <f t="shared" si="5"/>
        <v>34</v>
      </c>
      <c r="S50" s="4">
        <f t="shared" si="5"/>
        <v>34</v>
      </c>
      <c r="T50" s="4">
        <f t="shared" si="5"/>
        <v>34</v>
      </c>
      <c r="U50" s="4">
        <f t="shared" si="5"/>
        <v>37</v>
      </c>
      <c r="V50" s="4">
        <f t="shared" si="5"/>
        <v>37</v>
      </c>
      <c r="W50" s="4">
        <f t="shared" si="5"/>
        <v>37</v>
      </c>
      <c r="X50" s="4">
        <f t="shared" si="5"/>
        <v>42</v>
      </c>
      <c r="Y50" s="4">
        <f t="shared" si="5"/>
        <v>42</v>
      </c>
      <c r="Z50" s="4">
        <f t="shared" si="5"/>
        <v>42</v>
      </c>
      <c r="AA50" s="4">
        <f t="shared" si="5"/>
        <v>42</v>
      </c>
      <c r="AB50" s="4">
        <f t="shared" si="5"/>
        <v>42</v>
      </c>
      <c r="AC50" s="4">
        <f t="shared" si="5"/>
        <v>42</v>
      </c>
      <c r="AD50" s="4">
        <f t="shared" si="5"/>
        <v>42</v>
      </c>
      <c r="AE50" s="4">
        <f t="shared" si="5"/>
        <v>46</v>
      </c>
    </row>
    <row r="51" spans="1:31" s="4" customFormat="1" ht="20.100000000000001" customHeight="1" x14ac:dyDescent="0.2">
      <c r="A51" s="21"/>
      <c r="B51" s="37"/>
      <c r="C51" s="4" t="s">
        <v>129</v>
      </c>
      <c r="D51" s="4">
        <f t="shared" ref="D51:P51" si="6">D24+D29+D34+D39+D43</f>
        <v>10</v>
      </c>
      <c r="E51" s="4">
        <f t="shared" si="6"/>
        <v>10</v>
      </c>
      <c r="F51" s="4">
        <f t="shared" si="6"/>
        <v>10</v>
      </c>
      <c r="G51" s="4">
        <f t="shared" si="6"/>
        <v>10</v>
      </c>
      <c r="H51" s="4">
        <f t="shared" si="6"/>
        <v>10</v>
      </c>
      <c r="I51" s="4">
        <f t="shared" si="6"/>
        <v>10</v>
      </c>
      <c r="J51" s="4">
        <f t="shared" si="6"/>
        <v>15</v>
      </c>
      <c r="K51" s="4">
        <f t="shared" si="6"/>
        <v>15</v>
      </c>
      <c r="L51" s="4">
        <f t="shared" si="6"/>
        <v>15</v>
      </c>
      <c r="M51" s="4">
        <f t="shared" si="6"/>
        <v>15</v>
      </c>
      <c r="N51" s="4">
        <f t="shared" si="6"/>
        <v>15</v>
      </c>
      <c r="O51" s="4">
        <f t="shared" si="6"/>
        <v>15</v>
      </c>
      <c r="P51" s="4">
        <f t="shared" si="6"/>
        <v>15</v>
      </c>
      <c r="Q51" s="4">
        <f t="shared" ref="Q51:AE51" si="7">Q24+Q29+Q34+Q39+Q43</f>
        <v>15</v>
      </c>
      <c r="R51" s="4">
        <f t="shared" si="7"/>
        <v>15</v>
      </c>
      <c r="S51" s="4">
        <f t="shared" si="7"/>
        <v>15</v>
      </c>
      <c r="T51" s="4">
        <f t="shared" si="7"/>
        <v>15</v>
      </c>
      <c r="U51" s="4">
        <f t="shared" si="7"/>
        <v>15</v>
      </c>
      <c r="V51" s="4">
        <f t="shared" si="7"/>
        <v>15</v>
      </c>
      <c r="W51" s="4">
        <f t="shared" si="7"/>
        <v>15</v>
      </c>
      <c r="X51" s="4">
        <f t="shared" si="7"/>
        <v>15</v>
      </c>
      <c r="Y51" s="4">
        <f t="shared" si="7"/>
        <v>15</v>
      </c>
      <c r="Z51" s="4">
        <f t="shared" si="7"/>
        <v>15</v>
      </c>
      <c r="AA51" s="4">
        <f t="shared" si="7"/>
        <v>15</v>
      </c>
      <c r="AB51" s="4">
        <f t="shared" si="7"/>
        <v>15</v>
      </c>
      <c r="AC51" s="4">
        <f t="shared" si="7"/>
        <v>20</v>
      </c>
      <c r="AD51" s="4">
        <f t="shared" si="7"/>
        <v>20</v>
      </c>
      <c r="AE51" s="4">
        <f t="shared" si="7"/>
        <v>25</v>
      </c>
    </row>
    <row r="52" spans="1:31" s="4" customFormat="1" ht="20.100000000000001" customHeight="1" x14ac:dyDescent="0.2">
      <c r="A52" s="21"/>
      <c r="B52" s="38"/>
      <c r="C52" s="4" t="s">
        <v>130</v>
      </c>
      <c r="D52" s="4">
        <f>D50*(1+D51*0.02)</f>
        <v>28.799999999999997</v>
      </c>
      <c r="E52" s="4">
        <f>E50*(1+E51*0.02)</f>
        <v>28.799999999999997</v>
      </c>
      <c r="F52" s="4">
        <f t="shared" ref="F52:P52" si="8">F50*(1+F51*0.02)</f>
        <v>28.799999999999997</v>
      </c>
      <c r="G52" s="4">
        <f t="shared" si="8"/>
        <v>31.2</v>
      </c>
      <c r="H52" s="4">
        <f t="shared" si="8"/>
        <v>28.799999999999997</v>
      </c>
      <c r="I52" s="4">
        <f t="shared" si="8"/>
        <v>31.2</v>
      </c>
      <c r="J52" s="4">
        <f t="shared" si="8"/>
        <v>39</v>
      </c>
      <c r="K52" s="4">
        <f t="shared" si="8"/>
        <v>39</v>
      </c>
      <c r="L52" s="4">
        <f t="shared" si="8"/>
        <v>39</v>
      </c>
      <c r="M52" s="4">
        <f t="shared" si="8"/>
        <v>39</v>
      </c>
      <c r="N52" s="4">
        <f t="shared" si="8"/>
        <v>39</v>
      </c>
      <c r="O52" s="4">
        <f t="shared" si="8"/>
        <v>39</v>
      </c>
      <c r="P52" s="4">
        <f t="shared" si="8"/>
        <v>39</v>
      </c>
      <c r="Q52" s="4">
        <f t="shared" ref="Q52:AE52" si="9">Q50*(1+Q51*0.02)</f>
        <v>44.2</v>
      </c>
      <c r="R52" s="4">
        <f t="shared" si="9"/>
        <v>44.2</v>
      </c>
      <c r="S52" s="4">
        <f t="shared" si="9"/>
        <v>44.2</v>
      </c>
      <c r="T52" s="4">
        <f t="shared" si="9"/>
        <v>44.2</v>
      </c>
      <c r="U52" s="4">
        <f t="shared" si="9"/>
        <v>48.1</v>
      </c>
      <c r="V52" s="4">
        <f t="shared" si="9"/>
        <v>48.1</v>
      </c>
      <c r="W52" s="4">
        <f t="shared" si="9"/>
        <v>48.1</v>
      </c>
      <c r="X52" s="4">
        <f t="shared" si="9"/>
        <v>54.6</v>
      </c>
      <c r="Y52" s="4">
        <f t="shared" si="9"/>
        <v>54.6</v>
      </c>
      <c r="Z52" s="4">
        <f t="shared" si="9"/>
        <v>54.6</v>
      </c>
      <c r="AA52" s="4">
        <f t="shared" si="9"/>
        <v>54.6</v>
      </c>
      <c r="AB52" s="4">
        <f t="shared" si="9"/>
        <v>54.6</v>
      </c>
      <c r="AC52" s="4">
        <f t="shared" si="9"/>
        <v>58.8</v>
      </c>
      <c r="AD52" s="4">
        <f t="shared" si="9"/>
        <v>58.8</v>
      </c>
      <c r="AE52" s="4">
        <f t="shared" si="9"/>
        <v>69</v>
      </c>
    </row>
    <row r="53" spans="1:31" s="7" customFormat="1" ht="20.100000000000001" customHeight="1" x14ac:dyDescent="0.2">
      <c r="A53" s="2"/>
      <c r="B53" s="8"/>
      <c r="C53" s="8"/>
    </row>
    <row r="54" spans="1:31" s="5" customFormat="1" ht="20.100000000000001" customHeight="1" x14ac:dyDescent="0.2">
      <c r="A54" s="35" t="s">
        <v>136</v>
      </c>
      <c r="B54" s="35" t="s">
        <v>20</v>
      </c>
      <c r="C54" s="5" t="s">
        <v>21</v>
      </c>
    </row>
    <row r="55" spans="1:31" s="5" customFormat="1" ht="20.100000000000001" customHeight="1" x14ac:dyDescent="0.2">
      <c r="A55" s="22"/>
      <c r="B55" s="22"/>
      <c r="C55" s="5" t="s">
        <v>7</v>
      </c>
    </row>
    <row r="56" spans="1:31" s="5" customFormat="1" ht="20.100000000000001" customHeight="1" x14ac:dyDescent="0.2">
      <c r="A56" s="22"/>
      <c r="B56" s="22"/>
      <c r="C56" s="5" t="s">
        <v>22</v>
      </c>
    </row>
    <row r="57" spans="1:31" s="5" customFormat="1" ht="20.100000000000001" customHeight="1" x14ac:dyDescent="0.2">
      <c r="A57" s="22"/>
      <c r="B57" s="23"/>
      <c r="C57" s="5" t="s">
        <v>23</v>
      </c>
    </row>
    <row r="58" spans="1:31" s="5" customFormat="1" ht="20.100000000000001" customHeight="1" x14ac:dyDescent="0.2">
      <c r="A58" s="22"/>
      <c r="B58" s="35" t="s">
        <v>30</v>
      </c>
      <c r="C58" s="5">
        <v>1</v>
      </c>
    </row>
    <row r="59" spans="1:31" s="5" customFormat="1" ht="20.100000000000001" customHeight="1" x14ac:dyDescent="0.2">
      <c r="A59" s="22"/>
      <c r="B59" s="22"/>
      <c r="C59" s="5">
        <v>2</v>
      </c>
    </row>
    <row r="60" spans="1:31" s="5" customFormat="1" ht="20.100000000000001" customHeight="1" x14ac:dyDescent="0.2">
      <c r="A60" s="22"/>
      <c r="B60" s="23"/>
      <c r="C60" s="5">
        <v>3</v>
      </c>
    </row>
    <row r="61" spans="1:31" s="2" customFormat="1" ht="20.100000000000001" customHeight="1" x14ac:dyDescent="0.2">
      <c r="A61" s="22"/>
      <c r="B61" s="9"/>
      <c r="C61" s="9"/>
      <c r="D61" s="9"/>
      <c r="E61" s="9"/>
    </row>
    <row r="62" spans="1:31" s="5" customFormat="1" ht="20.100000000000001" customHeight="1" x14ac:dyDescent="0.2">
      <c r="A62" s="22"/>
      <c r="B62" s="35" t="s">
        <v>25</v>
      </c>
      <c r="C62" s="5" t="s">
        <v>2</v>
      </c>
    </row>
    <row r="63" spans="1:31" s="5" customFormat="1" ht="20.100000000000001" customHeight="1" x14ac:dyDescent="0.2">
      <c r="A63" s="22"/>
      <c r="B63" s="22"/>
      <c r="C63" s="5" t="s">
        <v>23</v>
      </c>
    </row>
    <row r="64" spans="1:31" s="5" customFormat="1" ht="20.100000000000001" customHeight="1" x14ac:dyDescent="0.2">
      <c r="A64" s="23"/>
      <c r="B64" s="23"/>
      <c r="C64" s="5" t="s">
        <v>6</v>
      </c>
    </row>
    <row r="65" spans="1:31" s="2" customFormat="1" ht="20.100000000000001" customHeight="1" x14ac:dyDescent="0.2"/>
    <row r="66" spans="1:31" s="6" customFormat="1" ht="20.100000000000001" customHeight="1" x14ac:dyDescent="0.2">
      <c r="A66" s="30" t="s">
        <v>26</v>
      </c>
      <c r="B66" s="6" t="s">
        <v>10</v>
      </c>
      <c r="C66" s="6" t="s">
        <v>11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</row>
    <row r="67" spans="1:31" s="4" customFormat="1" ht="20.100000000000001" customHeight="1" x14ac:dyDescent="0.2">
      <c r="A67" s="31"/>
      <c r="B67" s="4" t="s">
        <v>132</v>
      </c>
      <c r="C67" s="4" t="s">
        <v>135</v>
      </c>
      <c r="D67" s="4">
        <v>1</v>
      </c>
      <c r="E67" s="4">
        <v>1</v>
      </c>
      <c r="F67" s="4">
        <v>1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  <c r="AE67" s="4">
        <v>1</v>
      </c>
    </row>
    <row r="68" spans="1:31" s="4" customFormat="1" ht="20.100000000000001" customHeight="1" x14ac:dyDescent="0.2">
      <c r="A68" s="31"/>
      <c r="B68" s="4" t="s">
        <v>133</v>
      </c>
      <c r="C68" s="4" t="s">
        <v>135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</v>
      </c>
      <c r="R68" s="4">
        <v>0</v>
      </c>
      <c r="S68" s="4">
        <v>0</v>
      </c>
      <c r="T68" s="4">
        <v>0</v>
      </c>
      <c r="U68" s="4">
        <v>1</v>
      </c>
      <c r="V68" s="4">
        <v>0</v>
      </c>
      <c r="W68" s="4">
        <v>1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1</v>
      </c>
    </row>
    <row r="69" spans="1:31" s="5" customFormat="1" ht="20.100000000000001" customHeight="1" x14ac:dyDescent="0.2">
      <c r="A69" s="32"/>
      <c r="B69" s="5" t="s">
        <v>134</v>
      </c>
      <c r="C69" s="5" t="s">
        <v>135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1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</row>
  </sheetData>
  <mergeCells count="17">
    <mergeCell ref="B50:B52"/>
    <mergeCell ref="A66:A69"/>
    <mergeCell ref="A9:A20"/>
    <mergeCell ref="B58:B60"/>
    <mergeCell ref="B9:B12"/>
    <mergeCell ref="B13:B15"/>
    <mergeCell ref="B17:B20"/>
    <mergeCell ref="B22:B25"/>
    <mergeCell ref="B27:B30"/>
    <mergeCell ref="A22:A52"/>
    <mergeCell ref="B46:B48"/>
    <mergeCell ref="A54:A64"/>
    <mergeCell ref="B54:B57"/>
    <mergeCell ref="B62:B64"/>
    <mergeCell ref="B32:B35"/>
    <mergeCell ref="B37:B40"/>
    <mergeCell ref="B42:B44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F949-03E5-4E6E-B7CB-0D2F8A5AE350}">
  <dimension ref="A1:O69"/>
  <sheetViews>
    <sheetView workbookViewId="0">
      <pane xSplit="3" ySplit="4" topLeftCell="J5" activePane="bottomRight" state="frozen"/>
      <selection pane="topRight" activeCell="D1" sqref="D1"/>
      <selection pane="bottomLeft" activeCell="A5" sqref="A5"/>
      <selection pane="bottomRight" activeCell="R5" sqref="R5"/>
    </sheetView>
  </sheetViews>
  <sheetFormatPr defaultColWidth="16.625" defaultRowHeight="20.100000000000001" customHeight="1" x14ac:dyDescent="0.2"/>
  <cols>
    <col min="1" max="3" width="16.625" style="2"/>
  </cols>
  <sheetData>
    <row r="1" spans="1:15" ht="20.100000000000001" customHeight="1" x14ac:dyDescent="0.2">
      <c r="D1" s="2"/>
      <c r="E1" s="2"/>
      <c r="F1" s="2"/>
    </row>
    <row r="2" spans="1:15" ht="20.100000000000001" customHeight="1" x14ac:dyDescent="0.2">
      <c r="D2" s="2"/>
      <c r="E2" s="2"/>
      <c r="F2" s="2"/>
    </row>
    <row r="3" spans="1:15" ht="20.100000000000001" customHeight="1" x14ac:dyDescent="0.2">
      <c r="D3" s="2" t="s">
        <v>0</v>
      </c>
      <c r="E3" s="2"/>
      <c r="F3" s="2"/>
    </row>
    <row r="4" spans="1:15" s="11" customFormat="1" ht="20.100000000000001" customHeight="1" x14ac:dyDescent="0.2">
      <c r="A4" s="1"/>
      <c r="B4" s="1"/>
      <c r="C4" s="1"/>
      <c r="D4" s="1" t="s">
        <v>83</v>
      </c>
      <c r="E4" s="1" t="s">
        <v>84</v>
      </c>
      <c r="F4" s="1" t="s">
        <v>60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93</v>
      </c>
    </row>
    <row r="5" spans="1:15" s="1" customFormat="1" ht="20.100000000000001" customHeight="1" x14ac:dyDescent="0.2">
      <c r="C5" s="1" t="s">
        <v>139</v>
      </c>
      <c r="D5" s="16" t="s">
        <v>197</v>
      </c>
      <c r="E5" s="16" t="s">
        <v>198</v>
      </c>
      <c r="F5" s="1" t="s">
        <v>199</v>
      </c>
      <c r="G5" s="1" t="s">
        <v>200</v>
      </c>
      <c r="H5" s="1" t="s">
        <v>201</v>
      </c>
      <c r="I5" s="1" t="s">
        <v>202</v>
      </c>
      <c r="J5" s="1" t="s">
        <v>203</v>
      </c>
      <c r="K5" s="1" t="s">
        <v>204</v>
      </c>
      <c r="L5" s="1" t="s">
        <v>205</v>
      </c>
      <c r="M5" s="1" t="s">
        <v>206</v>
      </c>
      <c r="N5" s="1" t="s">
        <v>207</v>
      </c>
      <c r="O5" s="1" t="s">
        <v>208</v>
      </c>
    </row>
    <row r="6" spans="1:15" s="1" customFormat="1" ht="20.100000000000001" customHeight="1" x14ac:dyDescent="0.2">
      <c r="C6" s="1" t="s">
        <v>147</v>
      </c>
      <c r="D6" s="1" t="s">
        <v>156</v>
      </c>
      <c r="E6" s="1" t="s">
        <v>156</v>
      </c>
      <c r="F6" s="1" t="s">
        <v>156</v>
      </c>
      <c r="G6" s="1" t="s">
        <v>156</v>
      </c>
      <c r="H6" s="1" t="s">
        <v>156</v>
      </c>
      <c r="I6" s="1" t="s">
        <v>156</v>
      </c>
      <c r="J6" s="1" t="s">
        <v>156</v>
      </c>
      <c r="K6" s="1" t="s">
        <v>156</v>
      </c>
      <c r="L6" s="1" t="s">
        <v>156</v>
      </c>
      <c r="M6" s="1" t="s">
        <v>156</v>
      </c>
      <c r="N6" s="1" t="s">
        <v>156</v>
      </c>
      <c r="O6" s="1" t="s">
        <v>156</v>
      </c>
    </row>
    <row r="7" spans="1:15" s="11" customFormat="1" ht="20.100000000000001" customHeight="1" x14ac:dyDescent="0.2">
      <c r="A7" s="1"/>
      <c r="B7" s="1"/>
      <c r="C7" s="1" t="s">
        <v>124</v>
      </c>
      <c r="D7" s="1">
        <v>4</v>
      </c>
      <c r="E7" s="1">
        <v>4</v>
      </c>
      <c r="F7" s="1">
        <v>3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</row>
    <row r="8" spans="1:15" s="11" customFormat="1" ht="20.100000000000001" customHeight="1" x14ac:dyDescent="0.2">
      <c r="A8" s="1"/>
      <c r="B8" s="1"/>
      <c r="C8" s="1" t="s">
        <v>125</v>
      </c>
      <c r="D8" s="1">
        <v>1</v>
      </c>
      <c r="E8" s="1">
        <v>1</v>
      </c>
      <c r="F8" s="1">
        <v>1</v>
      </c>
      <c r="G8" s="1">
        <v>2</v>
      </c>
      <c r="H8" s="1">
        <v>2</v>
      </c>
      <c r="I8" s="1">
        <v>3</v>
      </c>
      <c r="J8" s="1">
        <v>3</v>
      </c>
      <c r="K8" s="1">
        <v>4</v>
      </c>
      <c r="L8" s="1">
        <v>4</v>
      </c>
      <c r="M8" s="1">
        <v>5</v>
      </c>
      <c r="N8" s="1">
        <v>5</v>
      </c>
      <c r="O8" s="1">
        <v>5</v>
      </c>
    </row>
    <row r="9" spans="1:15" s="3" customFormat="1" ht="20.100000000000001" customHeight="1" x14ac:dyDescent="0.2">
      <c r="A9" s="20" t="s">
        <v>137</v>
      </c>
      <c r="B9" s="18" t="s">
        <v>24</v>
      </c>
      <c r="C9" s="3" t="s">
        <v>6</v>
      </c>
      <c r="D9" s="3">
        <v>72</v>
      </c>
      <c r="E9" s="3">
        <v>54</v>
      </c>
      <c r="F9" s="3">
        <v>84</v>
      </c>
      <c r="G9" s="3">
        <v>96</v>
      </c>
      <c r="H9" s="3">
        <v>102</v>
      </c>
      <c r="I9" s="3">
        <v>120</v>
      </c>
      <c r="J9" s="3">
        <v>125</v>
      </c>
      <c r="K9" s="3">
        <v>130</v>
      </c>
      <c r="L9" s="3">
        <v>130</v>
      </c>
      <c r="M9" s="3">
        <v>145</v>
      </c>
      <c r="N9" s="3">
        <v>140</v>
      </c>
      <c r="O9" s="3">
        <v>145</v>
      </c>
    </row>
    <row r="10" spans="1:15" s="3" customFormat="1" ht="20.100000000000001" customHeight="1" x14ac:dyDescent="0.2">
      <c r="A10" s="20"/>
      <c r="B10" s="18"/>
      <c r="C10" s="3" t="s">
        <v>7</v>
      </c>
      <c r="D10" s="3">
        <v>1100</v>
      </c>
      <c r="E10" s="3">
        <v>550</v>
      </c>
      <c r="F10" s="3">
        <v>850</v>
      </c>
      <c r="G10" s="3">
        <v>1100</v>
      </c>
      <c r="H10" s="3">
        <v>1150</v>
      </c>
      <c r="I10" s="3">
        <v>1150</v>
      </c>
      <c r="J10" s="3">
        <v>1200</v>
      </c>
      <c r="K10" s="3">
        <v>1150</v>
      </c>
      <c r="L10" s="3">
        <v>900</v>
      </c>
      <c r="M10" s="3">
        <v>1200</v>
      </c>
      <c r="N10" s="3">
        <v>900</v>
      </c>
      <c r="O10" s="3">
        <v>1300</v>
      </c>
    </row>
    <row r="11" spans="1:15" s="3" customFormat="1" ht="20.100000000000001" customHeight="1" x14ac:dyDescent="0.2">
      <c r="A11" s="20"/>
      <c r="B11" s="18"/>
      <c r="C11" s="3" t="s">
        <v>8</v>
      </c>
      <c r="D11" s="3">
        <v>12</v>
      </c>
      <c r="E11" s="3">
        <v>10</v>
      </c>
      <c r="F11" s="3">
        <v>12</v>
      </c>
      <c r="G11" s="3">
        <v>12</v>
      </c>
      <c r="H11" s="3">
        <v>13</v>
      </c>
      <c r="I11" s="3">
        <v>13</v>
      </c>
      <c r="J11" s="3">
        <v>12</v>
      </c>
      <c r="K11" s="3">
        <v>13</v>
      </c>
      <c r="L11" s="3">
        <v>15</v>
      </c>
      <c r="M11" s="3">
        <v>14</v>
      </c>
      <c r="N11" s="3">
        <v>15</v>
      </c>
      <c r="O11" s="3">
        <v>12</v>
      </c>
    </row>
    <row r="12" spans="1:15" s="3" customFormat="1" ht="20.100000000000001" customHeight="1" x14ac:dyDescent="0.2">
      <c r="A12" s="20"/>
      <c r="B12" s="18"/>
      <c r="C12" s="3" t="s">
        <v>9</v>
      </c>
      <c r="D12" s="3" t="s">
        <v>138</v>
      </c>
      <c r="E12" s="3" t="s">
        <v>27</v>
      </c>
      <c r="F12" s="3" t="s">
        <v>138</v>
      </c>
      <c r="G12" s="3" t="s">
        <v>138</v>
      </c>
      <c r="H12" s="3" t="s">
        <v>138</v>
      </c>
      <c r="I12" s="3" t="s">
        <v>138</v>
      </c>
      <c r="J12" s="3" t="s">
        <v>138</v>
      </c>
      <c r="K12" s="3" t="s">
        <v>138</v>
      </c>
      <c r="L12" s="3" t="s">
        <v>138</v>
      </c>
      <c r="M12" s="3" t="s">
        <v>138</v>
      </c>
      <c r="N12" s="3" t="s">
        <v>138</v>
      </c>
      <c r="O12" s="3" t="s">
        <v>138</v>
      </c>
    </row>
    <row r="13" spans="1:15" s="3" customFormat="1" ht="20.100000000000001" customHeight="1" x14ac:dyDescent="0.2">
      <c r="A13" s="20"/>
      <c r="B13" s="18" t="s">
        <v>30</v>
      </c>
      <c r="C13" s="3">
        <v>1</v>
      </c>
    </row>
    <row r="14" spans="1:15" s="3" customFormat="1" ht="20.100000000000001" customHeight="1" x14ac:dyDescent="0.2">
      <c r="A14" s="20"/>
      <c r="B14" s="18"/>
      <c r="C14" s="3">
        <v>2</v>
      </c>
    </row>
    <row r="15" spans="1:15" s="3" customFormat="1" ht="20.100000000000001" customHeight="1" x14ac:dyDescent="0.2">
      <c r="A15" s="20"/>
      <c r="B15" s="18"/>
      <c r="C15" s="3">
        <v>3</v>
      </c>
    </row>
    <row r="16" spans="1:15" s="2" customFormat="1" ht="20.100000000000001" customHeight="1" x14ac:dyDescent="0.2">
      <c r="A16" s="20"/>
    </row>
    <row r="17" spans="1:15" s="3" customFormat="1" ht="20.100000000000001" customHeight="1" x14ac:dyDescent="0.2">
      <c r="A17" s="20"/>
      <c r="B17" s="24" t="s">
        <v>1</v>
      </c>
      <c r="C17" s="3" t="s">
        <v>2</v>
      </c>
      <c r="D17" s="3">
        <v>0.1</v>
      </c>
      <c r="E17" s="3">
        <v>0.4</v>
      </c>
      <c r="F17" s="3">
        <v>0.15</v>
      </c>
      <c r="G17" s="3">
        <v>0.2</v>
      </c>
      <c r="H17" s="3">
        <v>0.3</v>
      </c>
      <c r="I17" s="3">
        <v>0.5</v>
      </c>
      <c r="J17" s="3">
        <v>0.1</v>
      </c>
      <c r="K17" s="3">
        <v>0</v>
      </c>
      <c r="L17" s="3">
        <v>-0.2</v>
      </c>
      <c r="M17" s="3">
        <v>0.2</v>
      </c>
      <c r="N17" s="3">
        <v>0.7</v>
      </c>
      <c r="O17" s="3">
        <v>0.3</v>
      </c>
    </row>
    <row r="18" spans="1:15" s="3" customFormat="1" ht="20.100000000000001" customHeight="1" x14ac:dyDescent="0.2">
      <c r="A18" s="20"/>
      <c r="B18" s="25"/>
      <c r="C18" s="3" t="s">
        <v>3</v>
      </c>
      <c r="D18" s="3">
        <v>0.6</v>
      </c>
      <c r="E18" s="3">
        <v>0.3</v>
      </c>
      <c r="F18" s="3">
        <v>0.55000000000000004</v>
      </c>
      <c r="G18" s="3">
        <v>0.55000000000000004</v>
      </c>
      <c r="H18" s="3">
        <v>0.6</v>
      </c>
      <c r="I18" s="3">
        <v>0.7</v>
      </c>
      <c r="J18" s="3">
        <v>0.7</v>
      </c>
      <c r="K18" s="3">
        <v>0.8</v>
      </c>
      <c r="L18" s="3">
        <v>0.8</v>
      </c>
      <c r="M18" s="3">
        <v>0.8</v>
      </c>
      <c r="N18" s="3">
        <v>0.65</v>
      </c>
      <c r="O18" s="3">
        <v>0.85</v>
      </c>
    </row>
    <row r="19" spans="1:15" s="3" customFormat="1" ht="20.100000000000001" customHeight="1" x14ac:dyDescent="0.2">
      <c r="A19" s="20"/>
      <c r="B19" s="25"/>
      <c r="C19" s="3" t="s">
        <v>4</v>
      </c>
      <c r="D19" s="3">
        <v>0.1</v>
      </c>
      <c r="E19" s="3">
        <v>0.4</v>
      </c>
      <c r="F19" s="3">
        <v>0.15</v>
      </c>
      <c r="G19" s="3">
        <v>0.1</v>
      </c>
      <c r="H19" s="3">
        <v>0</v>
      </c>
      <c r="I19" s="3">
        <v>0.15</v>
      </c>
      <c r="J19" s="3">
        <v>0.15</v>
      </c>
      <c r="K19" s="3">
        <v>0.15</v>
      </c>
      <c r="L19" s="3">
        <v>0.2</v>
      </c>
      <c r="M19" s="3">
        <v>0.15</v>
      </c>
      <c r="N19" s="3">
        <v>0.25</v>
      </c>
      <c r="O19" s="3">
        <v>0</v>
      </c>
    </row>
    <row r="20" spans="1:15" s="3" customFormat="1" ht="20.100000000000001" customHeight="1" x14ac:dyDescent="0.2">
      <c r="A20" s="20"/>
      <c r="B20" s="26"/>
      <c r="C20" s="3" t="s">
        <v>5</v>
      </c>
      <c r="D20" s="3">
        <v>0.35</v>
      </c>
      <c r="E20" s="3">
        <v>0.5</v>
      </c>
      <c r="F20" s="3">
        <v>-0.2</v>
      </c>
      <c r="G20" s="3">
        <v>0.2</v>
      </c>
      <c r="H20" s="3">
        <v>0.2</v>
      </c>
      <c r="I20" s="3">
        <v>0.3</v>
      </c>
      <c r="J20" s="3">
        <v>0.3</v>
      </c>
      <c r="K20" s="3">
        <v>0</v>
      </c>
      <c r="L20" s="3">
        <v>0.15</v>
      </c>
      <c r="M20" s="3">
        <v>0.3</v>
      </c>
      <c r="N20" s="3">
        <v>0</v>
      </c>
      <c r="O20" s="3">
        <v>0</v>
      </c>
    </row>
    <row r="21" spans="1:15" s="2" customFormat="1" ht="20.100000000000001" customHeight="1" x14ac:dyDescent="0.2">
      <c r="B21" s="10"/>
      <c r="C21" s="10"/>
      <c r="D21" s="10"/>
      <c r="E21" s="10"/>
    </row>
    <row r="22" spans="1:15" s="4" customFormat="1" ht="20.100000000000001" customHeight="1" x14ac:dyDescent="0.2">
      <c r="A22" s="21" t="s">
        <v>131</v>
      </c>
      <c r="B22" s="39" t="s">
        <v>12</v>
      </c>
      <c r="C22" s="4" t="s">
        <v>13</v>
      </c>
      <c r="D22" s="4">
        <v>9</v>
      </c>
      <c r="E22" s="4">
        <v>9</v>
      </c>
      <c r="F22" s="4">
        <v>9</v>
      </c>
      <c r="G22" s="4">
        <v>9</v>
      </c>
      <c r="H22" s="4">
        <v>9</v>
      </c>
      <c r="I22" s="4">
        <v>10</v>
      </c>
      <c r="J22" s="4">
        <v>10</v>
      </c>
      <c r="K22" s="4">
        <v>11</v>
      </c>
      <c r="L22" s="4">
        <v>11</v>
      </c>
      <c r="M22" s="4">
        <v>12</v>
      </c>
      <c r="N22" s="4">
        <v>12</v>
      </c>
      <c r="O22" s="4">
        <v>13</v>
      </c>
    </row>
    <row r="23" spans="1:15" s="4" customFormat="1" ht="20.100000000000001" customHeight="1" x14ac:dyDescent="0.2">
      <c r="A23" s="21"/>
      <c r="B23" s="39"/>
      <c r="C23" s="4" t="s">
        <v>7</v>
      </c>
      <c r="D23" s="4">
        <f t="shared" ref="D23:O23" si="0">0.7*D28</f>
        <v>770</v>
      </c>
      <c r="E23" s="4">
        <f t="shared" si="0"/>
        <v>385</v>
      </c>
      <c r="F23" s="4">
        <f t="shared" si="0"/>
        <v>595</v>
      </c>
      <c r="G23" s="4">
        <f t="shared" si="0"/>
        <v>770</v>
      </c>
      <c r="H23" s="4">
        <f t="shared" si="0"/>
        <v>805</v>
      </c>
      <c r="I23" s="4">
        <f t="shared" si="0"/>
        <v>805</v>
      </c>
      <c r="J23" s="4">
        <f t="shared" si="0"/>
        <v>840</v>
      </c>
      <c r="K23" s="4">
        <f t="shared" si="0"/>
        <v>805</v>
      </c>
      <c r="L23" s="4">
        <f t="shared" si="0"/>
        <v>630</v>
      </c>
      <c r="M23" s="4">
        <f t="shared" si="0"/>
        <v>840</v>
      </c>
      <c r="N23" s="4">
        <f t="shared" si="0"/>
        <v>630</v>
      </c>
      <c r="O23" s="4">
        <f t="shared" si="0"/>
        <v>909.99999999999989</v>
      </c>
    </row>
    <row r="24" spans="1:15" s="4" customFormat="1" ht="20.100000000000001" customHeight="1" x14ac:dyDescent="0.2">
      <c r="A24" s="21"/>
      <c r="B24" s="39"/>
      <c r="C24" s="4" t="s">
        <v>14</v>
      </c>
      <c r="D24" s="4">
        <v>3</v>
      </c>
      <c r="E24" s="4">
        <v>3</v>
      </c>
      <c r="F24" s="4">
        <v>3</v>
      </c>
      <c r="G24" s="4">
        <v>4</v>
      </c>
      <c r="H24" s="4">
        <v>4</v>
      </c>
      <c r="I24" s="4">
        <v>4</v>
      </c>
      <c r="J24" s="4">
        <v>4</v>
      </c>
      <c r="K24" s="4">
        <v>5</v>
      </c>
      <c r="L24" s="4">
        <v>5</v>
      </c>
      <c r="M24" s="4">
        <v>7</v>
      </c>
      <c r="N24" s="4">
        <v>7</v>
      </c>
      <c r="O24" s="4">
        <v>6</v>
      </c>
    </row>
    <row r="25" spans="1:15" s="4" customFormat="1" ht="20.100000000000001" customHeight="1" x14ac:dyDescent="0.2">
      <c r="A25" s="21"/>
      <c r="B25" s="39"/>
      <c r="C25" s="4" t="s">
        <v>15</v>
      </c>
      <c r="D25" s="4">
        <v>0.1</v>
      </c>
      <c r="E25" s="4">
        <v>0.1</v>
      </c>
      <c r="F25" s="4">
        <v>0.1</v>
      </c>
      <c r="G25" s="4">
        <v>0.1</v>
      </c>
      <c r="H25" s="4">
        <v>0.1</v>
      </c>
      <c r="I25" s="4">
        <v>0.1</v>
      </c>
      <c r="J25" s="4">
        <v>0.1</v>
      </c>
      <c r="K25" s="4">
        <v>0.1</v>
      </c>
      <c r="L25" s="4">
        <v>0.1</v>
      </c>
      <c r="M25" s="4">
        <v>0.15</v>
      </c>
      <c r="N25" s="4">
        <v>0.15</v>
      </c>
      <c r="O25" s="4">
        <v>0.15</v>
      </c>
    </row>
    <row r="26" spans="1:15" s="2" customFormat="1" ht="20.100000000000001" customHeight="1" x14ac:dyDescent="0.2">
      <c r="A26" s="21"/>
      <c r="B26" s="12"/>
      <c r="C26" s="10"/>
      <c r="D26" s="10"/>
      <c r="E26" s="10"/>
    </row>
    <row r="27" spans="1:15" s="4" customFormat="1" ht="20.100000000000001" customHeight="1" x14ac:dyDescent="0.2">
      <c r="A27" s="21"/>
      <c r="B27" s="39" t="s">
        <v>16</v>
      </c>
      <c r="C27" s="4" t="s">
        <v>13</v>
      </c>
      <c r="D27" s="4">
        <v>14</v>
      </c>
      <c r="E27" s="4">
        <v>14</v>
      </c>
      <c r="F27" s="4">
        <v>14</v>
      </c>
      <c r="G27" s="4">
        <v>14</v>
      </c>
      <c r="H27" s="4">
        <v>14</v>
      </c>
      <c r="I27" s="4">
        <v>15</v>
      </c>
      <c r="J27" s="4">
        <v>16</v>
      </c>
      <c r="K27" s="4">
        <v>18</v>
      </c>
      <c r="L27" s="4">
        <v>18</v>
      </c>
      <c r="M27" s="4">
        <v>19</v>
      </c>
      <c r="N27" s="4">
        <v>19</v>
      </c>
      <c r="O27" s="4">
        <v>20</v>
      </c>
    </row>
    <row r="28" spans="1:15" s="4" customFormat="1" ht="20.100000000000001" customHeight="1" x14ac:dyDescent="0.2">
      <c r="A28" s="21"/>
      <c r="B28" s="39"/>
      <c r="C28" s="4" t="s">
        <v>7</v>
      </c>
      <c r="D28" s="4">
        <f t="shared" ref="D28:O28" si="1">D10</f>
        <v>1100</v>
      </c>
      <c r="E28" s="4">
        <f t="shared" si="1"/>
        <v>550</v>
      </c>
      <c r="F28" s="4">
        <f t="shared" si="1"/>
        <v>850</v>
      </c>
      <c r="G28" s="4">
        <f t="shared" si="1"/>
        <v>1100</v>
      </c>
      <c r="H28" s="4">
        <f t="shared" si="1"/>
        <v>1150</v>
      </c>
      <c r="I28" s="4">
        <f t="shared" si="1"/>
        <v>1150</v>
      </c>
      <c r="J28" s="4">
        <f t="shared" si="1"/>
        <v>1200</v>
      </c>
      <c r="K28" s="4">
        <f t="shared" si="1"/>
        <v>1150</v>
      </c>
      <c r="L28" s="4">
        <f t="shared" si="1"/>
        <v>900</v>
      </c>
      <c r="M28" s="4">
        <f t="shared" si="1"/>
        <v>1200</v>
      </c>
      <c r="N28" s="4">
        <f t="shared" si="1"/>
        <v>900</v>
      </c>
      <c r="O28" s="4">
        <f t="shared" si="1"/>
        <v>1300</v>
      </c>
    </row>
    <row r="29" spans="1:15" s="4" customFormat="1" ht="20.100000000000001" customHeight="1" x14ac:dyDescent="0.2">
      <c r="A29" s="21"/>
      <c r="B29" s="39"/>
      <c r="C29" s="4" t="s">
        <v>14</v>
      </c>
      <c r="D29" s="4">
        <v>3</v>
      </c>
      <c r="E29" s="4">
        <v>3</v>
      </c>
      <c r="F29" s="4">
        <v>3</v>
      </c>
      <c r="G29" s="4">
        <v>4</v>
      </c>
      <c r="H29" s="4">
        <v>4</v>
      </c>
      <c r="I29" s="4">
        <v>4</v>
      </c>
      <c r="J29" s="4">
        <v>4</v>
      </c>
      <c r="K29" s="4">
        <v>5</v>
      </c>
      <c r="L29" s="4">
        <v>5</v>
      </c>
      <c r="M29" s="4">
        <v>6</v>
      </c>
      <c r="N29" s="4">
        <v>6</v>
      </c>
      <c r="O29" s="4">
        <v>6</v>
      </c>
    </row>
    <row r="30" spans="1:15" s="4" customFormat="1" ht="20.100000000000001" customHeight="1" x14ac:dyDescent="0.2">
      <c r="A30" s="21"/>
      <c r="B30" s="39"/>
      <c r="C30" s="4" t="s">
        <v>15</v>
      </c>
      <c r="D30" s="4">
        <v>0.1</v>
      </c>
      <c r="E30" s="4">
        <v>0.1</v>
      </c>
      <c r="F30" s="4">
        <v>0.1</v>
      </c>
      <c r="G30" s="4">
        <v>0.1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4">
        <v>0.15</v>
      </c>
      <c r="N30" s="4">
        <v>0.15</v>
      </c>
      <c r="O30" s="4">
        <v>0.15</v>
      </c>
    </row>
    <row r="31" spans="1:15" s="2" customFormat="1" ht="20.100000000000001" customHeight="1" x14ac:dyDescent="0.2">
      <c r="A31" s="21"/>
      <c r="B31" s="13"/>
      <c r="C31" s="9"/>
      <c r="D31" s="9"/>
      <c r="E31" s="9"/>
    </row>
    <row r="32" spans="1:15" s="4" customFormat="1" ht="20.100000000000001" customHeight="1" x14ac:dyDescent="0.2">
      <c r="A32" s="21"/>
      <c r="B32" s="36" t="s">
        <v>17</v>
      </c>
      <c r="C32" s="4" t="s">
        <v>13</v>
      </c>
      <c r="D32" s="4">
        <v>12</v>
      </c>
      <c r="E32" s="4">
        <v>12</v>
      </c>
      <c r="F32" s="4">
        <v>12</v>
      </c>
      <c r="G32" s="4">
        <v>12</v>
      </c>
      <c r="H32" s="4">
        <v>12</v>
      </c>
      <c r="I32" s="4">
        <v>13</v>
      </c>
      <c r="J32" s="4">
        <v>14</v>
      </c>
      <c r="K32" s="4">
        <v>16</v>
      </c>
      <c r="L32" s="4">
        <v>16</v>
      </c>
      <c r="M32" s="4">
        <v>17</v>
      </c>
      <c r="N32" s="4">
        <v>17</v>
      </c>
      <c r="O32" s="4">
        <v>18</v>
      </c>
    </row>
    <row r="33" spans="1:15" s="4" customFormat="1" ht="20.100000000000001" customHeight="1" x14ac:dyDescent="0.2">
      <c r="A33" s="21"/>
      <c r="B33" s="37"/>
      <c r="C33" s="4" t="s">
        <v>7</v>
      </c>
      <c r="D33" s="4">
        <f t="shared" ref="D33:O33" si="2">0.9*D28</f>
        <v>990</v>
      </c>
      <c r="E33" s="4">
        <f t="shared" si="2"/>
        <v>495</v>
      </c>
      <c r="F33" s="4">
        <f t="shared" si="2"/>
        <v>765</v>
      </c>
      <c r="G33" s="4">
        <f t="shared" si="2"/>
        <v>990</v>
      </c>
      <c r="H33" s="4">
        <f t="shared" si="2"/>
        <v>1035</v>
      </c>
      <c r="I33" s="4">
        <f t="shared" si="2"/>
        <v>1035</v>
      </c>
      <c r="J33" s="4">
        <f t="shared" si="2"/>
        <v>1080</v>
      </c>
      <c r="K33" s="4">
        <f t="shared" si="2"/>
        <v>1035</v>
      </c>
      <c r="L33" s="4">
        <f t="shared" si="2"/>
        <v>810</v>
      </c>
      <c r="M33" s="4">
        <f t="shared" si="2"/>
        <v>1080</v>
      </c>
      <c r="N33" s="4">
        <f t="shared" si="2"/>
        <v>810</v>
      </c>
      <c r="O33" s="4">
        <f t="shared" si="2"/>
        <v>1170</v>
      </c>
    </row>
    <row r="34" spans="1:15" s="4" customFormat="1" ht="20.100000000000001" customHeight="1" x14ac:dyDescent="0.2">
      <c r="A34" s="21"/>
      <c r="B34" s="37"/>
      <c r="C34" s="4" t="s">
        <v>14</v>
      </c>
      <c r="D34" s="4">
        <v>3</v>
      </c>
      <c r="E34" s="4">
        <v>3</v>
      </c>
      <c r="F34" s="4">
        <v>3</v>
      </c>
      <c r="G34" s="4">
        <v>4</v>
      </c>
      <c r="H34" s="4">
        <v>4</v>
      </c>
      <c r="I34" s="4">
        <v>4</v>
      </c>
      <c r="J34" s="4">
        <v>4</v>
      </c>
      <c r="K34" s="4">
        <v>5</v>
      </c>
      <c r="L34" s="4">
        <v>5</v>
      </c>
      <c r="M34" s="4">
        <v>6</v>
      </c>
      <c r="N34" s="4">
        <v>6</v>
      </c>
      <c r="O34" s="4">
        <v>6</v>
      </c>
    </row>
    <row r="35" spans="1:15" s="4" customFormat="1" ht="20.100000000000001" customHeight="1" x14ac:dyDescent="0.2">
      <c r="A35" s="21"/>
      <c r="B35" s="38"/>
      <c r="C35" s="4" t="s">
        <v>15</v>
      </c>
      <c r="D35" s="4">
        <v>0.1</v>
      </c>
      <c r="E35" s="4">
        <v>0.1</v>
      </c>
      <c r="F35" s="4">
        <v>0.1</v>
      </c>
      <c r="G35" s="4">
        <v>0.1</v>
      </c>
      <c r="H35" s="4">
        <v>0.1</v>
      </c>
      <c r="I35" s="4">
        <v>0.1</v>
      </c>
      <c r="J35" s="4">
        <v>0.1</v>
      </c>
      <c r="K35" s="4">
        <v>0.1</v>
      </c>
      <c r="L35" s="4">
        <v>0.1</v>
      </c>
      <c r="M35" s="4">
        <v>0.15</v>
      </c>
      <c r="N35" s="4">
        <v>0.15</v>
      </c>
      <c r="O35" s="4">
        <v>0.15</v>
      </c>
    </row>
    <row r="36" spans="1:15" s="2" customFormat="1" ht="20.100000000000001" customHeight="1" x14ac:dyDescent="0.2">
      <c r="A36" s="21"/>
      <c r="B36" s="14"/>
      <c r="C36" s="1"/>
      <c r="D36" s="1"/>
      <c r="E36" s="1"/>
    </row>
    <row r="37" spans="1:15" s="4" customFormat="1" ht="20.100000000000001" customHeight="1" x14ac:dyDescent="0.2">
      <c r="A37" s="21"/>
      <c r="B37" s="36" t="s">
        <v>18</v>
      </c>
      <c r="C37" s="4" t="s">
        <v>13</v>
      </c>
      <c r="D37" s="4">
        <v>7</v>
      </c>
      <c r="E37" s="4">
        <v>7</v>
      </c>
      <c r="F37" s="4">
        <v>7</v>
      </c>
      <c r="G37" s="4">
        <v>7</v>
      </c>
      <c r="H37" s="4">
        <v>7</v>
      </c>
      <c r="I37" s="4">
        <v>8</v>
      </c>
      <c r="J37" s="4">
        <v>8</v>
      </c>
      <c r="K37" s="4">
        <v>9</v>
      </c>
      <c r="L37" s="4">
        <v>9</v>
      </c>
      <c r="M37" s="4">
        <v>10</v>
      </c>
      <c r="N37" s="4">
        <v>10</v>
      </c>
      <c r="O37" s="4">
        <v>11</v>
      </c>
    </row>
    <row r="38" spans="1:15" s="4" customFormat="1" ht="20.100000000000001" customHeight="1" x14ac:dyDescent="0.2">
      <c r="A38" s="21"/>
      <c r="B38" s="37"/>
      <c r="C38" s="4" t="s">
        <v>7</v>
      </c>
      <c r="D38" s="4">
        <f t="shared" ref="D38:O38" si="3">0.6*D28</f>
        <v>660</v>
      </c>
      <c r="E38" s="4">
        <f t="shared" si="3"/>
        <v>330</v>
      </c>
      <c r="F38" s="4">
        <f t="shared" si="3"/>
        <v>510</v>
      </c>
      <c r="G38" s="4">
        <f t="shared" si="3"/>
        <v>660</v>
      </c>
      <c r="H38" s="4">
        <f t="shared" si="3"/>
        <v>690</v>
      </c>
      <c r="I38" s="4">
        <f t="shared" si="3"/>
        <v>690</v>
      </c>
      <c r="J38" s="4">
        <f t="shared" si="3"/>
        <v>720</v>
      </c>
      <c r="K38" s="4">
        <f t="shared" si="3"/>
        <v>690</v>
      </c>
      <c r="L38" s="4">
        <f t="shared" si="3"/>
        <v>540</v>
      </c>
      <c r="M38" s="4">
        <f t="shared" si="3"/>
        <v>720</v>
      </c>
      <c r="N38" s="4">
        <f t="shared" si="3"/>
        <v>540</v>
      </c>
      <c r="O38" s="4">
        <f t="shared" si="3"/>
        <v>780</v>
      </c>
    </row>
    <row r="39" spans="1:15" s="4" customFormat="1" ht="20.100000000000001" customHeight="1" x14ac:dyDescent="0.2">
      <c r="A39" s="21"/>
      <c r="B39" s="37"/>
      <c r="C39" s="4" t="s">
        <v>14</v>
      </c>
      <c r="D39" s="4">
        <v>3</v>
      </c>
      <c r="E39" s="4">
        <v>3</v>
      </c>
      <c r="F39" s="4">
        <v>3</v>
      </c>
      <c r="G39" s="4">
        <v>4</v>
      </c>
      <c r="H39" s="4">
        <v>4</v>
      </c>
      <c r="I39" s="4">
        <v>4</v>
      </c>
      <c r="J39" s="4">
        <v>4</v>
      </c>
      <c r="K39" s="4">
        <v>5</v>
      </c>
      <c r="L39" s="4">
        <v>5</v>
      </c>
      <c r="M39" s="4">
        <v>7</v>
      </c>
      <c r="N39" s="4">
        <v>6</v>
      </c>
      <c r="O39" s="4">
        <v>6</v>
      </c>
    </row>
    <row r="40" spans="1:15" s="4" customFormat="1" ht="20.100000000000001" customHeight="1" x14ac:dyDescent="0.2">
      <c r="A40" s="21"/>
      <c r="B40" s="38"/>
      <c r="C40" s="4" t="s">
        <v>15</v>
      </c>
      <c r="D40" s="4">
        <v>0.1</v>
      </c>
      <c r="E40" s="4">
        <v>0.1</v>
      </c>
      <c r="F40" s="4">
        <v>0.1</v>
      </c>
      <c r="G40" s="4">
        <v>0.1</v>
      </c>
      <c r="H40" s="4">
        <v>0.1</v>
      </c>
      <c r="I40" s="4">
        <v>0.1</v>
      </c>
      <c r="J40" s="4">
        <v>0.1</v>
      </c>
      <c r="K40" s="4">
        <v>0.1</v>
      </c>
      <c r="L40" s="4">
        <v>0.1</v>
      </c>
      <c r="M40" s="4">
        <v>0.15</v>
      </c>
      <c r="N40" s="4">
        <v>0.15</v>
      </c>
      <c r="O40" s="4">
        <v>0.15</v>
      </c>
    </row>
    <row r="41" spans="1:15" s="2" customFormat="1" ht="20.100000000000001" customHeight="1" x14ac:dyDescent="0.2">
      <c r="A41" s="21"/>
      <c r="B41" s="14"/>
      <c r="C41" s="1"/>
      <c r="D41" s="1"/>
      <c r="E41" s="1"/>
    </row>
    <row r="42" spans="1:15" s="4" customFormat="1" ht="20.100000000000001" customHeight="1" x14ac:dyDescent="0.2">
      <c r="A42" s="21"/>
      <c r="B42" s="36" t="s">
        <v>19</v>
      </c>
      <c r="C42" s="4" t="s">
        <v>7</v>
      </c>
      <c r="D42" s="4">
        <f t="shared" ref="D42:O42" si="4">0.9*D28</f>
        <v>990</v>
      </c>
      <c r="E42" s="4">
        <f t="shared" si="4"/>
        <v>495</v>
      </c>
      <c r="F42" s="4">
        <f t="shared" si="4"/>
        <v>765</v>
      </c>
      <c r="G42" s="4">
        <f t="shared" si="4"/>
        <v>990</v>
      </c>
      <c r="H42" s="4">
        <f t="shared" si="4"/>
        <v>1035</v>
      </c>
      <c r="I42" s="4">
        <f t="shared" si="4"/>
        <v>1035</v>
      </c>
      <c r="J42" s="4">
        <f t="shared" si="4"/>
        <v>1080</v>
      </c>
      <c r="K42" s="4">
        <f t="shared" si="4"/>
        <v>1035</v>
      </c>
      <c r="L42" s="4">
        <f t="shared" si="4"/>
        <v>810</v>
      </c>
      <c r="M42" s="4">
        <f t="shared" si="4"/>
        <v>1080</v>
      </c>
      <c r="N42" s="4">
        <f t="shared" si="4"/>
        <v>810</v>
      </c>
      <c r="O42" s="4">
        <f t="shared" si="4"/>
        <v>1170</v>
      </c>
    </row>
    <row r="43" spans="1:15" s="4" customFormat="1" ht="20.100000000000001" customHeight="1" x14ac:dyDescent="0.2">
      <c r="A43" s="21"/>
      <c r="B43" s="37"/>
      <c r="C43" s="4" t="s">
        <v>14</v>
      </c>
      <c r="D43" s="4">
        <v>3</v>
      </c>
      <c r="E43" s="4">
        <v>3</v>
      </c>
      <c r="F43" s="4">
        <v>3</v>
      </c>
      <c r="G43" s="4">
        <v>4</v>
      </c>
      <c r="H43" s="4">
        <v>4</v>
      </c>
      <c r="I43" s="4">
        <v>4</v>
      </c>
      <c r="J43" s="4">
        <v>4</v>
      </c>
      <c r="K43" s="4">
        <v>5</v>
      </c>
      <c r="L43" s="4">
        <v>5</v>
      </c>
      <c r="M43" s="4">
        <v>7</v>
      </c>
      <c r="N43" s="4">
        <v>6</v>
      </c>
      <c r="O43" s="4">
        <v>6</v>
      </c>
    </row>
    <row r="44" spans="1:15" s="4" customFormat="1" ht="20.100000000000001" customHeight="1" x14ac:dyDescent="0.2">
      <c r="A44" s="21"/>
      <c r="B44" s="38"/>
      <c r="C44" s="4" t="s">
        <v>15</v>
      </c>
      <c r="D44" s="4">
        <v>0.1</v>
      </c>
      <c r="E44" s="4">
        <v>0.1</v>
      </c>
      <c r="F44" s="4">
        <v>0.1</v>
      </c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4">
        <v>0.15</v>
      </c>
      <c r="N44" s="4">
        <v>0.15</v>
      </c>
      <c r="O44" s="4">
        <v>0.15</v>
      </c>
    </row>
    <row r="45" spans="1:15" s="2" customFormat="1" ht="20.100000000000001" customHeight="1" x14ac:dyDescent="0.2">
      <c r="A45" s="21"/>
      <c r="D45" s="7"/>
      <c r="E45" s="7"/>
      <c r="F45" s="17"/>
    </row>
    <row r="46" spans="1:15" s="4" customFormat="1" ht="20.100000000000001" customHeight="1" x14ac:dyDescent="0.2">
      <c r="A46" s="21"/>
      <c r="B46" s="36" t="s">
        <v>30</v>
      </c>
      <c r="C46" s="4">
        <v>1</v>
      </c>
    </row>
    <row r="47" spans="1:15" s="4" customFormat="1" ht="20.100000000000001" customHeight="1" x14ac:dyDescent="0.2">
      <c r="A47" s="21"/>
      <c r="B47" s="37"/>
      <c r="C47" s="4">
        <v>2</v>
      </c>
    </row>
    <row r="48" spans="1:15" s="4" customFormat="1" ht="20.100000000000001" customHeight="1" x14ac:dyDescent="0.2">
      <c r="A48" s="21"/>
      <c r="B48" s="38"/>
      <c r="C48" s="4">
        <v>3</v>
      </c>
    </row>
    <row r="49" spans="1:15" s="2" customFormat="1" ht="20.100000000000001" customHeight="1" x14ac:dyDescent="0.2">
      <c r="A49" s="21"/>
      <c r="B49" s="15"/>
      <c r="C49" s="7"/>
      <c r="D49" s="8"/>
      <c r="E49" s="8"/>
    </row>
    <row r="50" spans="1:15" s="4" customFormat="1" ht="20.100000000000001" customHeight="1" x14ac:dyDescent="0.2">
      <c r="A50" s="21"/>
      <c r="B50" s="36" t="s">
        <v>28</v>
      </c>
      <c r="C50" s="4" t="s">
        <v>29</v>
      </c>
      <c r="D50" s="4">
        <f t="shared" ref="D50:O50" si="5">D22+D27+D32+D37</f>
        <v>42</v>
      </c>
      <c r="E50" s="4">
        <f t="shared" si="5"/>
        <v>42</v>
      </c>
      <c r="F50" s="4">
        <f t="shared" ref="F50" si="6">F22+F27+F32+F37</f>
        <v>42</v>
      </c>
      <c r="G50" s="4">
        <f t="shared" si="5"/>
        <v>42</v>
      </c>
      <c r="H50" s="4">
        <f t="shared" si="5"/>
        <v>42</v>
      </c>
      <c r="I50" s="4">
        <f t="shared" si="5"/>
        <v>46</v>
      </c>
      <c r="J50" s="4">
        <f t="shared" si="5"/>
        <v>48</v>
      </c>
      <c r="K50" s="4">
        <f t="shared" si="5"/>
        <v>54</v>
      </c>
      <c r="L50" s="4">
        <f t="shared" si="5"/>
        <v>54</v>
      </c>
      <c r="M50" s="4">
        <f t="shared" si="5"/>
        <v>58</v>
      </c>
      <c r="N50" s="4">
        <f t="shared" si="5"/>
        <v>58</v>
      </c>
      <c r="O50" s="4">
        <f t="shared" si="5"/>
        <v>62</v>
      </c>
    </row>
    <row r="51" spans="1:15" s="4" customFormat="1" ht="20.100000000000001" customHeight="1" x14ac:dyDescent="0.2">
      <c r="A51" s="21"/>
      <c r="B51" s="37"/>
      <c r="C51" s="4" t="s">
        <v>129</v>
      </c>
      <c r="D51" s="4">
        <f t="shared" ref="D51:O51" si="7">D24+D29+D34+D39+D43</f>
        <v>15</v>
      </c>
      <c r="E51" s="4">
        <f t="shared" si="7"/>
        <v>15</v>
      </c>
      <c r="F51" s="4">
        <f t="shared" ref="F51" si="8">F24+F29+F34+F39+F43</f>
        <v>15</v>
      </c>
      <c r="G51" s="4">
        <f t="shared" si="7"/>
        <v>20</v>
      </c>
      <c r="H51" s="4">
        <f t="shared" si="7"/>
        <v>20</v>
      </c>
      <c r="I51" s="4">
        <f t="shared" si="7"/>
        <v>20</v>
      </c>
      <c r="J51" s="4">
        <f t="shared" si="7"/>
        <v>20</v>
      </c>
      <c r="K51" s="4">
        <f t="shared" si="7"/>
        <v>25</v>
      </c>
      <c r="L51" s="4">
        <f t="shared" si="7"/>
        <v>25</v>
      </c>
      <c r="M51" s="4">
        <f t="shared" si="7"/>
        <v>33</v>
      </c>
      <c r="N51" s="4">
        <f t="shared" si="7"/>
        <v>31</v>
      </c>
      <c r="O51" s="4">
        <f t="shared" si="7"/>
        <v>30</v>
      </c>
    </row>
    <row r="52" spans="1:15" s="4" customFormat="1" ht="20.100000000000001" customHeight="1" x14ac:dyDescent="0.2">
      <c r="A52" s="21"/>
      <c r="B52" s="38"/>
      <c r="C52" s="4" t="s">
        <v>130</v>
      </c>
      <c r="D52" s="4">
        <f>D50*(1+D51*0.02)</f>
        <v>54.6</v>
      </c>
      <c r="E52" s="4">
        <f>E50*(1+E51*0.02)</f>
        <v>54.6</v>
      </c>
      <c r="F52" s="4">
        <f>F50*(1+F51*0.02)</f>
        <v>54.6</v>
      </c>
      <c r="G52" s="4">
        <f t="shared" ref="G52:O52" si="9">G50*(1+G51*0.02)</f>
        <v>58.8</v>
      </c>
      <c r="H52" s="4">
        <f t="shared" si="9"/>
        <v>58.8</v>
      </c>
      <c r="I52" s="4">
        <f t="shared" si="9"/>
        <v>64.399999999999991</v>
      </c>
      <c r="J52" s="4">
        <f t="shared" si="9"/>
        <v>67.199999999999989</v>
      </c>
      <c r="K52" s="4">
        <f t="shared" si="9"/>
        <v>81</v>
      </c>
      <c r="L52" s="4">
        <f t="shared" si="9"/>
        <v>81</v>
      </c>
      <c r="M52" s="4">
        <f t="shared" si="9"/>
        <v>96.28</v>
      </c>
      <c r="N52" s="4">
        <f t="shared" si="9"/>
        <v>93.960000000000008</v>
      </c>
      <c r="O52" s="4">
        <f t="shared" si="9"/>
        <v>99.2</v>
      </c>
    </row>
    <row r="53" spans="1:15" s="7" customFormat="1" ht="20.100000000000001" customHeight="1" x14ac:dyDescent="0.2">
      <c r="A53" s="2"/>
      <c r="B53" s="8"/>
      <c r="C53" s="8"/>
    </row>
    <row r="54" spans="1:15" s="5" customFormat="1" ht="20.100000000000001" customHeight="1" x14ac:dyDescent="0.2">
      <c r="A54" s="35" t="s">
        <v>136</v>
      </c>
      <c r="B54" s="35" t="s">
        <v>20</v>
      </c>
      <c r="C54" s="5" t="s">
        <v>21</v>
      </c>
      <c r="F54" s="5" t="s">
        <v>156</v>
      </c>
    </row>
    <row r="55" spans="1:15" s="5" customFormat="1" ht="20.100000000000001" customHeight="1" x14ac:dyDescent="0.2">
      <c r="A55" s="22"/>
      <c r="B55" s="22"/>
      <c r="C55" s="5" t="s">
        <v>7</v>
      </c>
      <c r="F55" s="5" t="s">
        <v>156</v>
      </c>
    </row>
    <row r="56" spans="1:15" s="5" customFormat="1" ht="20.100000000000001" customHeight="1" x14ac:dyDescent="0.2">
      <c r="A56" s="22"/>
      <c r="B56" s="22"/>
      <c r="C56" s="5" t="s">
        <v>22</v>
      </c>
      <c r="F56" s="5" t="s">
        <v>156</v>
      </c>
    </row>
    <row r="57" spans="1:15" s="5" customFormat="1" ht="20.100000000000001" customHeight="1" x14ac:dyDescent="0.2">
      <c r="A57" s="22"/>
      <c r="B57" s="23"/>
      <c r="C57" s="5" t="s">
        <v>23</v>
      </c>
      <c r="F57" s="5" t="s">
        <v>156</v>
      </c>
    </row>
    <row r="58" spans="1:15" s="5" customFormat="1" ht="20.100000000000001" customHeight="1" x14ac:dyDescent="0.2">
      <c r="A58" s="22"/>
      <c r="B58" s="35" t="s">
        <v>30</v>
      </c>
      <c r="C58" s="5">
        <v>1</v>
      </c>
    </row>
    <row r="59" spans="1:15" s="5" customFormat="1" ht="20.100000000000001" customHeight="1" x14ac:dyDescent="0.2">
      <c r="A59" s="22"/>
      <c r="B59" s="22"/>
      <c r="C59" s="5">
        <v>2</v>
      </c>
    </row>
    <row r="60" spans="1:15" s="5" customFormat="1" ht="20.100000000000001" customHeight="1" x14ac:dyDescent="0.2">
      <c r="A60" s="22"/>
      <c r="B60" s="23"/>
      <c r="C60" s="5">
        <v>3</v>
      </c>
    </row>
    <row r="61" spans="1:15" s="2" customFormat="1" ht="20.100000000000001" customHeight="1" x14ac:dyDescent="0.2">
      <c r="A61" s="22"/>
      <c r="B61" s="9"/>
      <c r="C61" s="9"/>
      <c r="D61" s="9"/>
      <c r="E61" s="9"/>
    </row>
    <row r="62" spans="1:15" s="5" customFormat="1" ht="20.100000000000001" customHeight="1" x14ac:dyDescent="0.2">
      <c r="A62" s="22"/>
      <c r="B62" s="35" t="s">
        <v>25</v>
      </c>
      <c r="C62" s="5" t="s">
        <v>2</v>
      </c>
      <c r="F62" s="5" t="s">
        <v>156</v>
      </c>
    </row>
    <row r="63" spans="1:15" s="5" customFormat="1" ht="20.100000000000001" customHeight="1" x14ac:dyDescent="0.2">
      <c r="A63" s="22"/>
      <c r="B63" s="22"/>
      <c r="C63" s="5" t="s">
        <v>23</v>
      </c>
      <c r="F63" s="5" t="s">
        <v>156</v>
      </c>
    </row>
    <row r="64" spans="1:15" s="5" customFormat="1" ht="20.100000000000001" customHeight="1" x14ac:dyDescent="0.2">
      <c r="A64" s="23"/>
      <c r="B64" s="23"/>
      <c r="C64" s="5" t="s">
        <v>6</v>
      </c>
      <c r="F64" s="5" t="s">
        <v>156</v>
      </c>
    </row>
    <row r="65" spans="1:15" s="2" customFormat="1" ht="20.100000000000001" customHeight="1" x14ac:dyDescent="0.2"/>
    <row r="66" spans="1:15" s="6" customFormat="1" ht="20.100000000000001" customHeight="1" x14ac:dyDescent="0.2">
      <c r="A66" s="30" t="s">
        <v>26</v>
      </c>
      <c r="B66" s="6" t="s">
        <v>10</v>
      </c>
      <c r="C66" s="6" t="s">
        <v>11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</row>
    <row r="67" spans="1:15" s="4" customFormat="1" ht="20.100000000000001" customHeight="1" x14ac:dyDescent="0.2">
      <c r="A67" s="31"/>
      <c r="B67" s="4" t="s">
        <v>132</v>
      </c>
      <c r="C67" s="4" t="s">
        <v>135</v>
      </c>
      <c r="D67" s="4">
        <v>1</v>
      </c>
      <c r="E67" s="4">
        <v>1</v>
      </c>
      <c r="F67" s="4">
        <v>0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</row>
    <row r="68" spans="1:15" s="4" customFormat="1" ht="20.100000000000001" customHeight="1" x14ac:dyDescent="0.2">
      <c r="A68" s="31"/>
      <c r="B68" s="4" t="s">
        <v>133</v>
      </c>
      <c r="C68" s="4" t="s">
        <v>135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</row>
    <row r="69" spans="1:15" s="5" customFormat="1" ht="20.100000000000001" customHeight="1" x14ac:dyDescent="0.2">
      <c r="A69" s="32"/>
      <c r="B69" s="5" t="s">
        <v>134</v>
      </c>
      <c r="C69" s="5" t="s">
        <v>135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</row>
  </sheetData>
  <mergeCells count="17">
    <mergeCell ref="B50:B52"/>
    <mergeCell ref="A66:A69"/>
    <mergeCell ref="A9:A20"/>
    <mergeCell ref="B58:B60"/>
    <mergeCell ref="B9:B12"/>
    <mergeCell ref="B13:B15"/>
    <mergeCell ref="B17:B20"/>
    <mergeCell ref="B22:B25"/>
    <mergeCell ref="B27:B30"/>
    <mergeCell ref="A22:A52"/>
    <mergeCell ref="B46:B48"/>
    <mergeCell ref="A54:A64"/>
    <mergeCell ref="B54:B57"/>
    <mergeCell ref="B62:B64"/>
    <mergeCell ref="B32:B35"/>
    <mergeCell ref="B37:B40"/>
    <mergeCell ref="B42:B44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480B-7650-4DE9-B7AF-42C282E029C5}">
  <dimension ref="A1:AA6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6" sqref="C5:C6"/>
    </sheetView>
  </sheetViews>
  <sheetFormatPr defaultColWidth="16.625" defaultRowHeight="20.100000000000001" customHeight="1" x14ac:dyDescent="0.2"/>
  <cols>
    <col min="1" max="3" width="16.625" style="2"/>
  </cols>
  <sheetData>
    <row r="1" spans="1:27" ht="20.100000000000001" customHeight="1" x14ac:dyDescent="0.2">
      <c r="D1" s="2"/>
      <c r="E1" s="2"/>
    </row>
    <row r="2" spans="1:27" ht="20.100000000000001" customHeight="1" x14ac:dyDescent="0.2"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</row>
    <row r="3" spans="1:27" ht="20.100000000000001" customHeight="1" x14ac:dyDescent="0.2">
      <c r="D3" s="2" t="s">
        <v>0</v>
      </c>
      <c r="E3" s="2"/>
    </row>
    <row r="4" spans="1:27" s="11" customFormat="1" ht="20.100000000000001" customHeight="1" x14ac:dyDescent="0.2">
      <c r="A4" s="1"/>
      <c r="B4" s="1"/>
      <c r="C4" s="1"/>
      <c r="D4" s="1" t="s">
        <v>94</v>
      </c>
      <c r="E4" s="1" t="s">
        <v>95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103</v>
      </c>
      <c r="M4" s="1" t="s">
        <v>104</v>
      </c>
      <c r="N4" s="1" t="s">
        <v>105</v>
      </c>
      <c r="O4" s="1" t="s">
        <v>106</v>
      </c>
      <c r="P4" s="1" t="s">
        <v>107</v>
      </c>
      <c r="Q4" s="1" t="s">
        <v>108</v>
      </c>
      <c r="R4" s="1" t="s">
        <v>109</v>
      </c>
      <c r="S4" s="1" t="s">
        <v>110</v>
      </c>
      <c r="T4" s="1" t="s">
        <v>111</v>
      </c>
      <c r="U4" s="1" t="s">
        <v>112</v>
      </c>
      <c r="V4" s="1" t="s">
        <v>113</v>
      </c>
      <c r="W4" s="1" t="s">
        <v>114</v>
      </c>
      <c r="X4" s="1" t="s">
        <v>115</v>
      </c>
      <c r="Y4" s="1" t="s">
        <v>116</v>
      </c>
      <c r="AA4" s="1"/>
    </row>
    <row r="5" spans="1:27" s="1" customFormat="1" ht="20.100000000000001" customHeight="1" x14ac:dyDescent="0.2">
      <c r="C5" s="1" t="s">
        <v>139</v>
      </c>
      <c r="D5" s="16" t="s">
        <v>173</v>
      </c>
      <c r="E5" s="16" t="s">
        <v>174</v>
      </c>
      <c r="F5" s="1" t="s">
        <v>175</v>
      </c>
      <c r="G5" s="1" t="s">
        <v>176</v>
      </c>
      <c r="H5" s="1" t="s">
        <v>177</v>
      </c>
      <c r="I5" s="1" t="s">
        <v>178</v>
      </c>
      <c r="J5" s="1" t="s">
        <v>179</v>
      </c>
      <c r="K5" s="1" t="s">
        <v>180</v>
      </c>
      <c r="L5" s="1" t="s">
        <v>181</v>
      </c>
      <c r="M5" s="1" t="s">
        <v>182</v>
      </c>
      <c r="N5" s="1" t="s">
        <v>183</v>
      </c>
      <c r="O5" s="1" t="s">
        <v>184</v>
      </c>
      <c r="P5" s="1" t="s">
        <v>185</v>
      </c>
      <c r="Q5" s="1" t="s">
        <v>186</v>
      </c>
      <c r="R5" s="1" t="s">
        <v>187</v>
      </c>
      <c r="S5" s="1" t="s">
        <v>188</v>
      </c>
      <c r="T5" s="1" t="s">
        <v>190</v>
      </c>
      <c r="U5" s="1" t="s">
        <v>191</v>
      </c>
      <c r="V5" s="1" t="s">
        <v>192</v>
      </c>
      <c r="W5" s="1" t="s">
        <v>193</v>
      </c>
      <c r="X5" s="1" t="s">
        <v>194</v>
      </c>
      <c r="Y5" s="1" t="s">
        <v>195</v>
      </c>
    </row>
    <row r="6" spans="1:27" s="1" customFormat="1" ht="20.100000000000001" customHeight="1" x14ac:dyDescent="0.2">
      <c r="C6" s="1" t="s">
        <v>147</v>
      </c>
      <c r="D6" s="1" t="s">
        <v>156</v>
      </c>
      <c r="E6" s="1" t="s">
        <v>156</v>
      </c>
      <c r="F6" s="1" t="s">
        <v>156</v>
      </c>
      <c r="G6" s="1" t="s">
        <v>156</v>
      </c>
      <c r="H6" s="1" t="s">
        <v>156</v>
      </c>
      <c r="I6" s="1" t="s">
        <v>156</v>
      </c>
      <c r="J6" s="1" t="s">
        <v>156</v>
      </c>
      <c r="K6" s="1" t="s">
        <v>156</v>
      </c>
      <c r="L6" s="1" t="s">
        <v>156</v>
      </c>
      <c r="M6" s="1" t="s">
        <v>156</v>
      </c>
      <c r="N6" s="1" t="s">
        <v>156</v>
      </c>
      <c r="O6" s="1" t="s">
        <v>156</v>
      </c>
      <c r="P6" s="1" t="s">
        <v>156</v>
      </c>
      <c r="Q6" s="1" t="s">
        <v>156</v>
      </c>
      <c r="R6" s="1" t="s">
        <v>156</v>
      </c>
      <c r="S6" s="1" t="s">
        <v>156</v>
      </c>
      <c r="T6" s="1" t="s">
        <v>156</v>
      </c>
      <c r="U6" s="1" t="s">
        <v>156</v>
      </c>
      <c r="V6" s="1" t="s">
        <v>156</v>
      </c>
      <c r="W6" s="1" t="s">
        <v>156</v>
      </c>
      <c r="X6" s="1" t="s">
        <v>156</v>
      </c>
      <c r="Y6" s="1" t="s">
        <v>156</v>
      </c>
    </row>
    <row r="7" spans="1:27" s="11" customFormat="1" ht="20.100000000000001" customHeight="1" x14ac:dyDescent="0.2">
      <c r="A7" s="1"/>
      <c r="B7" s="1"/>
      <c r="C7" s="1" t="s">
        <v>124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3</v>
      </c>
      <c r="L7" s="1">
        <v>5</v>
      </c>
      <c r="M7" s="1">
        <v>5</v>
      </c>
      <c r="N7" s="1">
        <v>5</v>
      </c>
      <c r="O7" s="1">
        <v>5</v>
      </c>
      <c r="P7" s="1">
        <v>3</v>
      </c>
      <c r="Q7" s="1">
        <v>5</v>
      </c>
      <c r="R7" s="1">
        <v>5</v>
      </c>
      <c r="S7" s="1">
        <v>5</v>
      </c>
      <c r="T7" s="1">
        <v>5</v>
      </c>
      <c r="U7" s="1">
        <v>5</v>
      </c>
      <c r="V7" s="1">
        <v>5</v>
      </c>
      <c r="W7" s="1">
        <v>5</v>
      </c>
      <c r="X7" s="1">
        <v>5</v>
      </c>
      <c r="Y7" s="1">
        <v>5</v>
      </c>
      <c r="AA7" s="1"/>
    </row>
    <row r="8" spans="1:27" s="11" customFormat="1" ht="20.100000000000001" customHeight="1" x14ac:dyDescent="0.2">
      <c r="A8" s="1"/>
      <c r="B8" s="1"/>
      <c r="C8" s="1" t="s">
        <v>125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2</v>
      </c>
      <c r="K8" s="1" t="s">
        <v>189</v>
      </c>
      <c r="L8" s="1">
        <v>3</v>
      </c>
      <c r="M8" s="1">
        <v>3</v>
      </c>
      <c r="N8" s="1">
        <v>3</v>
      </c>
      <c r="O8" s="1">
        <v>3</v>
      </c>
      <c r="P8" s="1" t="s">
        <v>189</v>
      </c>
      <c r="Q8" s="1">
        <v>4</v>
      </c>
      <c r="R8" s="1">
        <v>5</v>
      </c>
      <c r="S8" s="1">
        <v>5</v>
      </c>
      <c r="T8" s="1">
        <v>5</v>
      </c>
      <c r="U8" s="1">
        <v>5</v>
      </c>
      <c r="V8" s="1">
        <v>6</v>
      </c>
      <c r="W8" s="1">
        <v>6</v>
      </c>
      <c r="X8" s="1">
        <v>6</v>
      </c>
      <c r="Y8" s="1">
        <v>6</v>
      </c>
      <c r="AA8" s="1"/>
    </row>
    <row r="9" spans="1:27" s="3" customFormat="1" ht="20.100000000000001" customHeight="1" x14ac:dyDescent="0.2">
      <c r="A9" s="20" t="s">
        <v>137</v>
      </c>
      <c r="B9" s="18" t="s">
        <v>24</v>
      </c>
      <c r="C9" s="3" t="s">
        <v>6</v>
      </c>
      <c r="D9" s="3">
        <v>155</v>
      </c>
      <c r="E9" s="3">
        <v>130</v>
      </c>
      <c r="F9" s="3" t="s">
        <v>156</v>
      </c>
      <c r="G9" s="3">
        <v>72</v>
      </c>
      <c r="H9" s="3">
        <v>175</v>
      </c>
      <c r="I9" s="3">
        <v>64</v>
      </c>
      <c r="J9" s="3">
        <v>200</v>
      </c>
      <c r="K9" s="3">
        <v>88</v>
      </c>
      <c r="L9" s="3">
        <v>270</v>
      </c>
      <c r="M9" s="3">
        <v>290</v>
      </c>
      <c r="N9" s="3">
        <v>275</v>
      </c>
      <c r="O9" s="3">
        <v>280</v>
      </c>
      <c r="P9" s="3">
        <v>98</v>
      </c>
      <c r="Q9" s="3">
        <v>295</v>
      </c>
      <c r="R9" s="3">
        <v>350</v>
      </c>
      <c r="S9" s="3">
        <v>325</v>
      </c>
      <c r="T9" s="3">
        <v>345</v>
      </c>
      <c r="U9" s="3">
        <v>340</v>
      </c>
      <c r="V9" s="3">
        <v>350</v>
      </c>
      <c r="W9" s="3">
        <v>365</v>
      </c>
      <c r="X9" s="3">
        <v>370</v>
      </c>
      <c r="Y9" s="3">
        <v>385</v>
      </c>
    </row>
    <row r="10" spans="1:27" s="3" customFormat="1" ht="20.100000000000001" customHeight="1" x14ac:dyDescent="0.2">
      <c r="A10" s="20"/>
      <c r="B10" s="18"/>
      <c r="C10" s="3" t="s">
        <v>7</v>
      </c>
      <c r="D10" s="3">
        <v>1300</v>
      </c>
      <c r="E10" s="3">
        <v>800</v>
      </c>
      <c r="F10" s="3" t="s">
        <v>156</v>
      </c>
      <c r="G10" s="3">
        <v>500</v>
      </c>
      <c r="H10" s="3">
        <v>900</v>
      </c>
      <c r="I10" s="3">
        <v>500</v>
      </c>
      <c r="J10" s="3">
        <v>1200</v>
      </c>
      <c r="K10" s="3">
        <v>1100</v>
      </c>
      <c r="L10" s="3">
        <v>900</v>
      </c>
      <c r="M10" s="3">
        <v>1200</v>
      </c>
      <c r="N10" s="3">
        <v>1000</v>
      </c>
      <c r="O10" s="3">
        <v>900</v>
      </c>
      <c r="P10" s="3">
        <v>1200</v>
      </c>
      <c r="Q10" s="3">
        <v>800</v>
      </c>
      <c r="R10" s="3">
        <v>950</v>
      </c>
      <c r="S10" s="3">
        <v>1050</v>
      </c>
      <c r="T10" s="3">
        <v>2000</v>
      </c>
      <c r="U10" s="3">
        <v>1550</v>
      </c>
      <c r="V10" s="3">
        <v>1400</v>
      </c>
      <c r="W10" s="3">
        <v>1000</v>
      </c>
      <c r="X10" s="3">
        <v>1100</v>
      </c>
      <c r="Y10" s="3">
        <v>2100</v>
      </c>
    </row>
    <row r="11" spans="1:27" s="3" customFormat="1" ht="20.100000000000001" customHeight="1" x14ac:dyDescent="0.2">
      <c r="A11" s="20"/>
      <c r="B11" s="18"/>
      <c r="C11" s="3" t="s">
        <v>8</v>
      </c>
      <c r="D11" s="3">
        <v>14</v>
      </c>
      <c r="E11" s="3">
        <v>15</v>
      </c>
      <c r="F11" s="3" t="s">
        <v>156</v>
      </c>
      <c r="G11" s="3">
        <v>14</v>
      </c>
      <c r="H11" s="3">
        <v>14</v>
      </c>
      <c r="I11" s="3">
        <v>10</v>
      </c>
      <c r="J11" s="3">
        <v>13</v>
      </c>
      <c r="K11" s="3">
        <v>14</v>
      </c>
      <c r="L11" s="3">
        <v>12</v>
      </c>
      <c r="M11" s="3">
        <v>14</v>
      </c>
      <c r="N11" s="3">
        <v>14</v>
      </c>
      <c r="O11" s="3">
        <v>14</v>
      </c>
      <c r="P11" s="3">
        <v>15</v>
      </c>
      <c r="Q11" s="3">
        <v>15</v>
      </c>
      <c r="R11" s="3">
        <v>17</v>
      </c>
      <c r="S11" s="3">
        <v>16</v>
      </c>
      <c r="T11" s="3">
        <v>14</v>
      </c>
      <c r="U11" s="3">
        <v>21</v>
      </c>
      <c r="V11" s="3">
        <v>19</v>
      </c>
      <c r="W11" s="3">
        <v>18</v>
      </c>
      <c r="X11" s="3">
        <v>18</v>
      </c>
      <c r="Y11" s="3">
        <v>18</v>
      </c>
    </row>
    <row r="12" spans="1:27" s="3" customFormat="1" ht="20.100000000000001" customHeight="1" x14ac:dyDescent="0.2">
      <c r="A12" s="20"/>
      <c r="B12" s="18"/>
      <c r="C12" s="3" t="s">
        <v>9</v>
      </c>
      <c r="D12" s="3" t="s">
        <v>138</v>
      </c>
      <c r="E12" s="3" t="s">
        <v>138</v>
      </c>
      <c r="F12" s="3" t="s">
        <v>156</v>
      </c>
      <c r="G12" s="3" t="s">
        <v>138</v>
      </c>
      <c r="H12" s="3" t="s">
        <v>138</v>
      </c>
      <c r="I12" s="3" t="s">
        <v>138</v>
      </c>
      <c r="J12" s="3" t="s">
        <v>138</v>
      </c>
      <c r="K12" s="3" t="s">
        <v>138</v>
      </c>
      <c r="L12" s="3" t="s">
        <v>138</v>
      </c>
      <c r="M12" s="3" t="s">
        <v>138</v>
      </c>
      <c r="N12" s="3" t="s">
        <v>138</v>
      </c>
      <c r="O12" s="3" t="s">
        <v>138</v>
      </c>
      <c r="P12" s="3" t="s">
        <v>138</v>
      </c>
      <c r="Q12" s="3" t="s">
        <v>138</v>
      </c>
      <c r="R12" s="3" t="s">
        <v>138</v>
      </c>
      <c r="S12" s="3" t="s">
        <v>138</v>
      </c>
      <c r="T12" s="3" t="s">
        <v>138</v>
      </c>
      <c r="U12" s="3" t="s">
        <v>138</v>
      </c>
      <c r="V12" s="3" t="s">
        <v>138</v>
      </c>
      <c r="W12" s="3" t="s">
        <v>138</v>
      </c>
      <c r="X12" s="3" t="s">
        <v>138</v>
      </c>
      <c r="Y12" s="3" t="s">
        <v>138</v>
      </c>
    </row>
    <row r="13" spans="1:27" s="3" customFormat="1" ht="20.100000000000001" customHeight="1" x14ac:dyDescent="0.2">
      <c r="A13" s="20"/>
      <c r="B13" s="18" t="s">
        <v>30</v>
      </c>
      <c r="C13" s="3">
        <v>1</v>
      </c>
    </row>
    <row r="14" spans="1:27" s="3" customFormat="1" ht="20.100000000000001" customHeight="1" x14ac:dyDescent="0.2">
      <c r="A14" s="20"/>
      <c r="B14" s="18"/>
      <c r="C14" s="3">
        <v>2</v>
      </c>
    </row>
    <row r="15" spans="1:27" s="3" customFormat="1" ht="20.100000000000001" customHeight="1" x14ac:dyDescent="0.2">
      <c r="A15" s="20"/>
      <c r="B15" s="18"/>
      <c r="C15" s="3">
        <v>3</v>
      </c>
    </row>
    <row r="16" spans="1:27" s="2" customFormat="1" ht="20.100000000000001" customHeight="1" x14ac:dyDescent="0.2">
      <c r="A16" s="20"/>
    </row>
    <row r="17" spans="1:25" s="3" customFormat="1" ht="20.100000000000001" customHeight="1" x14ac:dyDescent="0.2">
      <c r="A17" s="20"/>
      <c r="B17" s="24" t="s">
        <v>1</v>
      </c>
      <c r="C17" s="3" t="s">
        <v>2</v>
      </c>
      <c r="D17" s="3">
        <v>0.3</v>
      </c>
      <c r="E17" s="3">
        <v>0.2</v>
      </c>
      <c r="F17" s="3" t="s">
        <v>156</v>
      </c>
      <c r="G17" s="3">
        <v>0.5</v>
      </c>
      <c r="H17" s="3">
        <v>0.1</v>
      </c>
      <c r="I17" s="3">
        <v>0</v>
      </c>
      <c r="J17" s="3">
        <v>0.7</v>
      </c>
      <c r="K17" s="3">
        <v>0.2</v>
      </c>
      <c r="L17" s="3">
        <v>0</v>
      </c>
      <c r="M17" s="3">
        <v>0.7</v>
      </c>
      <c r="N17" s="3">
        <v>-0.1</v>
      </c>
      <c r="O17" s="3">
        <v>-0.2</v>
      </c>
      <c r="P17" s="3">
        <v>0</v>
      </c>
      <c r="Q17" s="3">
        <v>-0.1</v>
      </c>
      <c r="R17" s="3">
        <v>0.2</v>
      </c>
      <c r="S17" s="3">
        <v>0.2</v>
      </c>
      <c r="T17" s="3">
        <v>0.75</v>
      </c>
      <c r="U17" s="3">
        <v>0.5</v>
      </c>
      <c r="V17" s="3">
        <v>0.2</v>
      </c>
      <c r="W17" s="3">
        <v>0.4</v>
      </c>
      <c r="X17" s="3">
        <v>0.4</v>
      </c>
      <c r="Y17" s="3">
        <v>0.6</v>
      </c>
    </row>
    <row r="18" spans="1:25" s="3" customFormat="1" ht="20.100000000000001" customHeight="1" x14ac:dyDescent="0.2">
      <c r="A18" s="20"/>
      <c r="B18" s="25"/>
      <c r="C18" s="3" t="s">
        <v>3</v>
      </c>
      <c r="D18" s="3">
        <v>0.75</v>
      </c>
      <c r="E18" s="3">
        <v>0.9</v>
      </c>
      <c r="F18" s="3" t="s">
        <v>156</v>
      </c>
      <c r="G18" s="3">
        <v>0.65</v>
      </c>
      <c r="H18" s="3">
        <v>0.8</v>
      </c>
      <c r="I18" s="3">
        <v>0.7</v>
      </c>
      <c r="J18" s="3">
        <v>0.7</v>
      </c>
      <c r="K18" s="3">
        <v>0.6</v>
      </c>
      <c r="L18" s="3">
        <v>0.9</v>
      </c>
      <c r="M18" s="3">
        <v>0.8</v>
      </c>
      <c r="N18" s="3">
        <v>0.85</v>
      </c>
      <c r="O18" s="3">
        <v>0.9</v>
      </c>
      <c r="P18" s="3">
        <v>0.65</v>
      </c>
      <c r="Q18" s="3">
        <v>0.9</v>
      </c>
      <c r="R18" s="3">
        <v>0.9</v>
      </c>
      <c r="S18" s="3">
        <v>0.9</v>
      </c>
      <c r="T18" s="3">
        <v>1</v>
      </c>
      <c r="U18" s="3">
        <v>0.8</v>
      </c>
      <c r="V18" s="3">
        <v>1</v>
      </c>
      <c r="W18" s="3">
        <v>1.1000000000000001</v>
      </c>
      <c r="X18" s="3">
        <v>1.2</v>
      </c>
      <c r="Y18" s="3">
        <v>1.1000000000000001</v>
      </c>
    </row>
    <row r="19" spans="1:25" s="3" customFormat="1" ht="20.100000000000001" customHeight="1" x14ac:dyDescent="0.2">
      <c r="A19" s="20"/>
      <c r="B19" s="25"/>
      <c r="C19" s="3" t="s">
        <v>4</v>
      </c>
      <c r="D19" s="3">
        <v>0.15</v>
      </c>
      <c r="E19" s="3">
        <v>0.1</v>
      </c>
      <c r="F19" s="3" t="s">
        <v>156</v>
      </c>
      <c r="G19" s="3">
        <v>0</v>
      </c>
      <c r="H19" s="3">
        <v>0</v>
      </c>
      <c r="I19" s="3">
        <v>0</v>
      </c>
      <c r="J19" s="3">
        <v>0.2</v>
      </c>
      <c r="K19" s="3">
        <v>0</v>
      </c>
      <c r="L19" s="3">
        <v>0.2</v>
      </c>
      <c r="M19" s="3">
        <v>0.1</v>
      </c>
      <c r="N19" s="3">
        <v>0.2</v>
      </c>
      <c r="O19" s="3">
        <v>0.25</v>
      </c>
      <c r="P19" s="3">
        <v>-0.2</v>
      </c>
      <c r="Q19" s="3">
        <v>0.2</v>
      </c>
      <c r="R19" s="3">
        <v>0.2</v>
      </c>
      <c r="S19" s="3">
        <v>0.5</v>
      </c>
      <c r="T19" s="3">
        <v>0</v>
      </c>
      <c r="U19" s="3">
        <v>0.5</v>
      </c>
      <c r="V19" s="3">
        <v>0.2</v>
      </c>
      <c r="W19" s="3">
        <v>0.35</v>
      </c>
      <c r="X19" s="3">
        <v>0.2</v>
      </c>
      <c r="Y19" s="3">
        <v>0.25</v>
      </c>
    </row>
    <row r="20" spans="1:25" s="3" customFormat="1" ht="20.100000000000001" customHeight="1" x14ac:dyDescent="0.2">
      <c r="A20" s="20"/>
      <c r="B20" s="26"/>
      <c r="C20" s="3" t="s">
        <v>5</v>
      </c>
      <c r="D20" s="3">
        <v>0.3</v>
      </c>
      <c r="E20" s="3">
        <v>0.4</v>
      </c>
      <c r="F20" s="3" t="s">
        <v>156</v>
      </c>
      <c r="G20" s="3">
        <v>0.5</v>
      </c>
      <c r="H20" s="3">
        <v>0.1</v>
      </c>
      <c r="I20" s="3">
        <v>-0.2</v>
      </c>
      <c r="J20" s="3">
        <v>0</v>
      </c>
      <c r="K20" s="3">
        <v>0</v>
      </c>
      <c r="L20" s="3">
        <v>0.1</v>
      </c>
      <c r="M20" s="3">
        <v>0.25</v>
      </c>
      <c r="N20" s="3">
        <v>0.3</v>
      </c>
      <c r="O20" s="3">
        <v>0.6</v>
      </c>
      <c r="P20" s="3">
        <v>0.75</v>
      </c>
      <c r="Q20" s="3">
        <v>-0.2</v>
      </c>
      <c r="R20" s="3">
        <v>0.2</v>
      </c>
      <c r="S20" s="3">
        <v>0.8</v>
      </c>
      <c r="T20" s="3">
        <v>0.2</v>
      </c>
      <c r="U20" s="3">
        <v>0.8</v>
      </c>
      <c r="V20" s="3">
        <v>0.3</v>
      </c>
      <c r="W20" s="3">
        <v>0.4</v>
      </c>
      <c r="X20" s="3">
        <v>0.4</v>
      </c>
      <c r="Y20" s="3">
        <v>0.5</v>
      </c>
    </row>
    <row r="21" spans="1:25" s="2" customFormat="1" ht="20.100000000000001" customHeight="1" x14ac:dyDescent="0.2">
      <c r="B21" s="10"/>
      <c r="C21" s="10"/>
      <c r="D21" s="10"/>
      <c r="E21" s="10"/>
    </row>
    <row r="22" spans="1:25" s="4" customFormat="1" ht="20.100000000000001" customHeight="1" x14ac:dyDescent="0.2">
      <c r="A22" s="21" t="s">
        <v>131</v>
      </c>
      <c r="B22" s="39" t="s">
        <v>12</v>
      </c>
      <c r="C22" s="4" t="s">
        <v>13</v>
      </c>
      <c r="D22" s="4">
        <v>12</v>
      </c>
      <c r="E22" s="4">
        <v>12</v>
      </c>
      <c r="F22" s="4" t="s">
        <v>171</v>
      </c>
      <c r="G22" s="4">
        <v>6</v>
      </c>
      <c r="H22" s="4">
        <v>12</v>
      </c>
      <c r="I22" s="4">
        <v>6</v>
      </c>
      <c r="J22" s="4">
        <v>13</v>
      </c>
      <c r="K22" s="4">
        <v>9</v>
      </c>
      <c r="L22" s="4">
        <v>13</v>
      </c>
      <c r="M22" s="4">
        <v>13</v>
      </c>
      <c r="N22" s="4">
        <v>13</v>
      </c>
      <c r="O22" s="4">
        <v>13</v>
      </c>
      <c r="P22" s="4">
        <v>10</v>
      </c>
      <c r="Q22" s="4">
        <v>14</v>
      </c>
      <c r="R22" s="4">
        <v>15</v>
      </c>
      <c r="S22" s="4">
        <v>15</v>
      </c>
      <c r="T22" s="4">
        <v>16</v>
      </c>
      <c r="U22" s="4">
        <v>15</v>
      </c>
      <c r="V22" s="4">
        <v>15</v>
      </c>
      <c r="W22" s="4">
        <v>15</v>
      </c>
      <c r="X22" s="4">
        <v>15</v>
      </c>
      <c r="Y22" s="4">
        <v>16</v>
      </c>
    </row>
    <row r="23" spans="1:25" s="4" customFormat="1" ht="20.100000000000001" customHeight="1" x14ac:dyDescent="0.2">
      <c r="A23" s="21"/>
      <c r="B23" s="39"/>
      <c r="C23" s="4" t="s">
        <v>7</v>
      </c>
      <c r="D23" s="4">
        <f t="shared" ref="D23:Y23" si="0">0.7*D28</f>
        <v>909.99999999999989</v>
      </c>
      <c r="E23" s="4">
        <f t="shared" si="0"/>
        <v>560</v>
      </c>
      <c r="F23" s="4" t="e">
        <f t="shared" si="0"/>
        <v>#VALUE!</v>
      </c>
      <c r="G23" s="4">
        <f t="shared" si="0"/>
        <v>350</v>
      </c>
      <c r="H23" s="4">
        <f t="shared" si="0"/>
        <v>630</v>
      </c>
      <c r="I23" s="4">
        <f t="shared" si="0"/>
        <v>350</v>
      </c>
      <c r="J23" s="4">
        <f t="shared" si="0"/>
        <v>840</v>
      </c>
      <c r="K23" s="4">
        <f t="shared" si="0"/>
        <v>770</v>
      </c>
      <c r="L23" s="4">
        <f t="shared" si="0"/>
        <v>630</v>
      </c>
      <c r="M23" s="4">
        <f t="shared" si="0"/>
        <v>840</v>
      </c>
      <c r="N23" s="4">
        <f t="shared" si="0"/>
        <v>700</v>
      </c>
      <c r="O23" s="4">
        <f t="shared" si="0"/>
        <v>630</v>
      </c>
      <c r="P23" s="4">
        <f t="shared" si="0"/>
        <v>840</v>
      </c>
      <c r="Q23" s="4">
        <f t="shared" si="0"/>
        <v>560</v>
      </c>
      <c r="R23" s="4">
        <f t="shared" si="0"/>
        <v>665</v>
      </c>
      <c r="S23" s="4">
        <f t="shared" si="0"/>
        <v>735</v>
      </c>
      <c r="T23" s="4">
        <f t="shared" si="0"/>
        <v>1400</v>
      </c>
      <c r="U23" s="4">
        <f t="shared" si="0"/>
        <v>1085</v>
      </c>
      <c r="V23" s="4">
        <f t="shared" si="0"/>
        <v>979.99999999999989</v>
      </c>
      <c r="W23" s="4">
        <f t="shared" si="0"/>
        <v>700</v>
      </c>
      <c r="X23" s="4">
        <f t="shared" si="0"/>
        <v>770</v>
      </c>
      <c r="Y23" s="4">
        <f t="shared" si="0"/>
        <v>1470</v>
      </c>
    </row>
    <row r="24" spans="1:25" s="4" customFormat="1" ht="20.100000000000001" customHeight="1" x14ac:dyDescent="0.2">
      <c r="A24" s="21"/>
      <c r="B24" s="39"/>
      <c r="C24" s="4" t="s">
        <v>14</v>
      </c>
      <c r="D24" s="4">
        <v>6</v>
      </c>
      <c r="E24" s="4">
        <v>6</v>
      </c>
      <c r="F24" s="4" t="s">
        <v>171</v>
      </c>
      <c r="G24" s="4">
        <v>5</v>
      </c>
      <c r="H24" s="4">
        <v>7</v>
      </c>
      <c r="I24" s="4">
        <v>5</v>
      </c>
      <c r="J24" s="4">
        <v>6</v>
      </c>
      <c r="K24" s="4">
        <v>4</v>
      </c>
      <c r="L24" s="4">
        <v>7</v>
      </c>
      <c r="M24" s="4">
        <v>7</v>
      </c>
      <c r="N24" s="4">
        <v>7</v>
      </c>
      <c r="O24" s="4">
        <v>7</v>
      </c>
      <c r="P24" s="4">
        <v>4</v>
      </c>
      <c r="Q24" s="4">
        <v>8</v>
      </c>
      <c r="R24" s="4">
        <v>9</v>
      </c>
      <c r="S24" s="4">
        <v>9</v>
      </c>
      <c r="T24" s="4">
        <v>9</v>
      </c>
      <c r="U24" s="4">
        <v>10</v>
      </c>
      <c r="V24" s="4">
        <v>10</v>
      </c>
      <c r="W24" s="4">
        <v>11</v>
      </c>
      <c r="X24" s="4">
        <v>10</v>
      </c>
      <c r="Y24" s="4">
        <v>10</v>
      </c>
    </row>
    <row r="25" spans="1:25" s="4" customFormat="1" ht="20.100000000000001" customHeight="1" x14ac:dyDescent="0.2">
      <c r="A25" s="21"/>
      <c r="B25" s="39"/>
      <c r="C25" s="4" t="s">
        <v>15</v>
      </c>
      <c r="D25" s="4">
        <v>0.15</v>
      </c>
      <c r="E25" s="4">
        <v>0.15</v>
      </c>
      <c r="F25" s="4">
        <v>0.15</v>
      </c>
      <c r="G25" s="4">
        <v>0.15</v>
      </c>
      <c r="H25" s="4">
        <v>0.15</v>
      </c>
      <c r="I25" s="4">
        <v>0.15</v>
      </c>
      <c r="J25" s="4">
        <v>0.15</v>
      </c>
      <c r="K25" s="4">
        <v>0.15</v>
      </c>
      <c r="L25" s="4">
        <v>0.15</v>
      </c>
      <c r="M25" s="4">
        <v>0.15</v>
      </c>
      <c r="N25" s="4">
        <v>0.15</v>
      </c>
      <c r="O25" s="4">
        <v>0.15</v>
      </c>
      <c r="P25" s="4">
        <v>0.15</v>
      </c>
      <c r="Q25" s="4">
        <v>0.15</v>
      </c>
      <c r="R25" s="4">
        <v>0.2</v>
      </c>
      <c r="S25" s="4">
        <v>0.2</v>
      </c>
      <c r="T25" s="4">
        <v>0.2</v>
      </c>
      <c r="U25" s="4">
        <v>0.2</v>
      </c>
      <c r="V25" s="4">
        <v>0.2</v>
      </c>
      <c r="W25" s="4">
        <v>0.2</v>
      </c>
      <c r="X25" s="4">
        <v>0.2</v>
      </c>
      <c r="Y25" s="4">
        <v>0.25</v>
      </c>
    </row>
    <row r="26" spans="1:25" s="2" customFormat="1" ht="20.100000000000001" customHeight="1" x14ac:dyDescent="0.2">
      <c r="A26" s="21"/>
      <c r="B26" s="12"/>
      <c r="C26" s="10"/>
      <c r="D26" s="10"/>
      <c r="E26" s="10"/>
    </row>
    <row r="27" spans="1:25" s="4" customFormat="1" ht="20.100000000000001" customHeight="1" x14ac:dyDescent="0.2">
      <c r="A27" s="21"/>
      <c r="B27" s="39" t="s">
        <v>16</v>
      </c>
      <c r="C27" s="4" t="s">
        <v>13</v>
      </c>
      <c r="D27" s="4">
        <v>19</v>
      </c>
      <c r="E27" s="4">
        <v>19</v>
      </c>
      <c r="F27" s="4" t="s">
        <v>171</v>
      </c>
      <c r="G27" s="4">
        <v>8</v>
      </c>
      <c r="H27" s="4">
        <v>20</v>
      </c>
      <c r="I27" s="4">
        <v>8</v>
      </c>
      <c r="J27" s="4">
        <v>20</v>
      </c>
      <c r="K27" s="4">
        <v>15</v>
      </c>
      <c r="L27" s="4">
        <v>20</v>
      </c>
      <c r="M27" s="4">
        <v>20</v>
      </c>
      <c r="N27" s="4">
        <v>20</v>
      </c>
      <c r="O27" s="4">
        <v>20</v>
      </c>
      <c r="P27" s="4">
        <v>15</v>
      </c>
      <c r="Q27" s="4">
        <v>22</v>
      </c>
      <c r="R27" s="4">
        <v>23</v>
      </c>
      <c r="S27" s="4">
        <v>23</v>
      </c>
      <c r="T27" s="4">
        <v>24</v>
      </c>
      <c r="U27" s="4">
        <v>23</v>
      </c>
      <c r="V27" s="4">
        <v>24</v>
      </c>
      <c r="W27" s="4">
        <v>24</v>
      </c>
      <c r="X27" s="4">
        <v>24</v>
      </c>
      <c r="Y27" s="4">
        <v>25</v>
      </c>
    </row>
    <row r="28" spans="1:25" s="4" customFormat="1" ht="20.100000000000001" customHeight="1" x14ac:dyDescent="0.2">
      <c r="A28" s="21"/>
      <c r="B28" s="39"/>
      <c r="C28" s="4" t="s">
        <v>7</v>
      </c>
      <c r="D28" s="4">
        <f t="shared" ref="D28:Y28" si="1">D10</f>
        <v>1300</v>
      </c>
      <c r="E28" s="4">
        <f t="shared" si="1"/>
        <v>800</v>
      </c>
      <c r="F28" s="4" t="str">
        <f t="shared" si="1"/>
        <v>null</v>
      </c>
      <c r="G28" s="4">
        <f t="shared" si="1"/>
        <v>500</v>
      </c>
      <c r="H28" s="4">
        <f t="shared" si="1"/>
        <v>900</v>
      </c>
      <c r="I28" s="4">
        <f t="shared" si="1"/>
        <v>500</v>
      </c>
      <c r="J28" s="4">
        <f t="shared" si="1"/>
        <v>1200</v>
      </c>
      <c r="K28" s="4">
        <f t="shared" si="1"/>
        <v>1100</v>
      </c>
      <c r="L28" s="4">
        <f t="shared" si="1"/>
        <v>900</v>
      </c>
      <c r="M28" s="4">
        <f t="shared" si="1"/>
        <v>1200</v>
      </c>
      <c r="N28" s="4">
        <f t="shared" si="1"/>
        <v>1000</v>
      </c>
      <c r="O28" s="4">
        <f t="shared" si="1"/>
        <v>900</v>
      </c>
      <c r="P28" s="4">
        <f t="shared" si="1"/>
        <v>1200</v>
      </c>
      <c r="Q28" s="4">
        <f t="shared" si="1"/>
        <v>800</v>
      </c>
      <c r="R28" s="4">
        <f t="shared" si="1"/>
        <v>950</v>
      </c>
      <c r="S28" s="4">
        <f t="shared" si="1"/>
        <v>1050</v>
      </c>
      <c r="T28" s="4">
        <f t="shared" si="1"/>
        <v>2000</v>
      </c>
      <c r="U28" s="4">
        <f t="shared" si="1"/>
        <v>1550</v>
      </c>
      <c r="V28" s="4">
        <f t="shared" si="1"/>
        <v>1400</v>
      </c>
      <c r="W28" s="4">
        <f t="shared" si="1"/>
        <v>1000</v>
      </c>
      <c r="X28" s="4">
        <f t="shared" si="1"/>
        <v>1100</v>
      </c>
      <c r="Y28" s="4">
        <f t="shared" si="1"/>
        <v>2100</v>
      </c>
    </row>
    <row r="29" spans="1:25" s="4" customFormat="1" ht="20.100000000000001" customHeight="1" x14ac:dyDescent="0.2">
      <c r="A29" s="21"/>
      <c r="B29" s="39"/>
      <c r="C29" s="4" t="s">
        <v>14</v>
      </c>
      <c r="D29" s="4">
        <v>6</v>
      </c>
      <c r="E29" s="4">
        <v>6</v>
      </c>
      <c r="F29" s="4" t="s">
        <v>171</v>
      </c>
      <c r="G29" s="4">
        <v>5</v>
      </c>
      <c r="H29" s="4">
        <v>6</v>
      </c>
      <c r="I29" s="4">
        <v>5</v>
      </c>
      <c r="J29" s="4">
        <v>6</v>
      </c>
      <c r="K29" s="4">
        <v>4</v>
      </c>
      <c r="L29" s="4">
        <v>7</v>
      </c>
      <c r="M29" s="4">
        <v>7</v>
      </c>
      <c r="N29" s="4">
        <v>7</v>
      </c>
      <c r="O29" s="4">
        <v>8</v>
      </c>
      <c r="P29" s="4">
        <v>4</v>
      </c>
      <c r="Q29" s="4">
        <v>8</v>
      </c>
      <c r="R29" s="4">
        <v>9</v>
      </c>
      <c r="S29" s="4">
        <v>9</v>
      </c>
      <c r="T29" s="4">
        <v>9</v>
      </c>
      <c r="U29" s="4">
        <v>10</v>
      </c>
      <c r="V29" s="4">
        <v>10</v>
      </c>
      <c r="W29" s="4">
        <v>11</v>
      </c>
      <c r="X29" s="4">
        <v>10</v>
      </c>
      <c r="Y29" s="4">
        <v>10</v>
      </c>
    </row>
    <row r="30" spans="1:25" s="4" customFormat="1" ht="20.100000000000001" customHeight="1" x14ac:dyDescent="0.2">
      <c r="A30" s="21"/>
      <c r="B30" s="39"/>
      <c r="C30" s="4" t="s">
        <v>15</v>
      </c>
      <c r="D30" s="4">
        <v>0.15</v>
      </c>
      <c r="E30" s="4">
        <v>0.15</v>
      </c>
      <c r="F30" s="4">
        <v>0.15</v>
      </c>
      <c r="G30" s="4">
        <v>0.15</v>
      </c>
      <c r="H30" s="4">
        <v>0.15</v>
      </c>
      <c r="I30" s="4">
        <v>0.15</v>
      </c>
      <c r="J30" s="4">
        <v>0.15</v>
      </c>
      <c r="K30" s="4">
        <v>0.15</v>
      </c>
      <c r="L30" s="4">
        <v>0.15</v>
      </c>
      <c r="M30" s="4">
        <v>0.15</v>
      </c>
      <c r="N30" s="4">
        <v>0.15</v>
      </c>
      <c r="O30" s="4">
        <v>0.15</v>
      </c>
      <c r="P30" s="4">
        <v>0.15</v>
      </c>
      <c r="Q30" s="4">
        <v>0.15</v>
      </c>
      <c r="R30" s="4">
        <v>0.2</v>
      </c>
      <c r="S30" s="4">
        <v>0.2</v>
      </c>
      <c r="T30" s="4">
        <v>0.2</v>
      </c>
      <c r="U30" s="4">
        <v>0.2</v>
      </c>
      <c r="V30" s="4">
        <v>0.2</v>
      </c>
      <c r="W30" s="4">
        <v>0.2</v>
      </c>
      <c r="X30" s="4">
        <v>0.2</v>
      </c>
      <c r="Y30" s="4">
        <v>0.25</v>
      </c>
    </row>
    <row r="31" spans="1:25" s="2" customFormat="1" ht="20.100000000000001" customHeight="1" x14ac:dyDescent="0.2">
      <c r="A31" s="21"/>
      <c r="B31" s="13"/>
      <c r="C31" s="9"/>
      <c r="D31" s="9"/>
      <c r="E31" s="9"/>
    </row>
    <row r="32" spans="1:25" s="4" customFormat="1" ht="20.100000000000001" customHeight="1" x14ac:dyDescent="0.2">
      <c r="A32" s="21"/>
      <c r="B32" s="36" t="s">
        <v>17</v>
      </c>
      <c r="C32" s="4" t="s">
        <v>13</v>
      </c>
      <c r="D32" s="4">
        <v>17</v>
      </c>
      <c r="E32" s="4">
        <v>17</v>
      </c>
      <c r="F32" s="4" t="s">
        <v>171</v>
      </c>
      <c r="G32" s="4">
        <v>7</v>
      </c>
      <c r="H32" s="4">
        <v>18</v>
      </c>
      <c r="I32" s="4">
        <v>7</v>
      </c>
      <c r="J32" s="4">
        <v>18</v>
      </c>
      <c r="K32" s="4">
        <v>13</v>
      </c>
      <c r="L32" s="4">
        <v>18</v>
      </c>
      <c r="M32" s="4">
        <v>18</v>
      </c>
      <c r="N32" s="4">
        <v>18</v>
      </c>
      <c r="O32" s="4">
        <v>18</v>
      </c>
      <c r="P32" s="4">
        <v>13</v>
      </c>
      <c r="Q32" s="4">
        <v>19</v>
      </c>
      <c r="R32" s="4">
        <v>20</v>
      </c>
      <c r="S32" s="4">
        <v>20</v>
      </c>
      <c r="T32" s="4">
        <v>21</v>
      </c>
      <c r="U32" s="4">
        <v>20</v>
      </c>
      <c r="V32" s="4">
        <v>21</v>
      </c>
      <c r="W32" s="4">
        <v>21</v>
      </c>
      <c r="X32" s="4">
        <v>21</v>
      </c>
      <c r="Y32" s="4">
        <v>22</v>
      </c>
    </row>
    <row r="33" spans="1:25" s="4" customFormat="1" ht="20.100000000000001" customHeight="1" x14ac:dyDescent="0.2">
      <c r="A33" s="21"/>
      <c r="B33" s="37"/>
      <c r="C33" s="4" t="s">
        <v>7</v>
      </c>
      <c r="D33" s="4">
        <f t="shared" ref="D33:Y33" si="2">0.9*D28</f>
        <v>1170</v>
      </c>
      <c r="E33" s="4">
        <f t="shared" si="2"/>
        <v>720</v>
      </c>
      <c r="F33" s="4" t="e">
        <f t="shared" si="2"/>
        <v>#VALUE!</v>
      </c>
      <c r="G33" s="4">
        <f t="shared" si="2"/>
        <v>450</v>
      </c>
      <c r="H33" s="4">
        <f t="shared" si="2"/>
        <v>810</v>
      </c>
      <c r="I33" s="4">
        <f t="shared" si="2"/>
        <v>450</v>
      </c>
      <c r="J33" s="4">
        <f t="shared" si="2"/>
        <v>1080</v>
      </c>
      <c r="K33" s="4">
        <f t="shared" si="2"/>
        <v>990</v>
      </c>
      <c r="L33" s="4">
        <f t="shared" si="2"/>
        <v>810</v>
      </c>
      <c r="M33" s="4">
        <f t="shared" si="2"/>
        <v>1080</v>
      </c>
      <c r="N33" s="4">
        <f t="shared" si="2"/>
        <v>900</v>
      </c>
      <c r="O33" s="4">
        <f t="shared" si="2"/>
        <v>810</v>
      </c>
      <c r="P33" s="4">
        <f t="shared" si="2"/>
        <v>1080</v>
      </c>
      <c r="Q33" s="4">
        <f t="shared" si="2"/>
        <v>720</v>
      </c>
      <c r="R33" s="4">
        <f t="shared" si="2"/>
        <v>855</v>
      </c>
      <c r="S33" s="4">
        <f t="shared" si="2"/>
        <v>945</v>
      </c>
      <c r="T33" s="4">
        <f t="shared" si="2"/>
        <v>1800</v>
      </c>
      <c r="U33" s="4">
        <f t="shared" si="2"/>
        <v>1395</v>
      </c>
      <c r="V33" s="4">
        <f t="shared" si="2"/>
        <v>1260</v>
      </c>
      <c r="W33" s="4">
        <f t="shared" si="2"/>
        <v>900</v>
      </c>
      <c r="X33" s="4">
        <f t="shared" si="2"/>
        <v>990</v>
      </c>
      <c r="Y33" s="4">
        <f t="shared" si="2"/>
        <v>1890</v>
      </c>
    </row>
    <row r="34" spans="1:25" s="4" customFormat="1" ht="20.100000000000001" customHeight="1" x14ac:dyDescent="0.2">
      <c r="A34" s="21"/>
      <c r="B34" s="37"/>
      <c r="C34" s="4" t="s">
        <v>14</v>
      </c>
      <c r="D34" s="4">
        <v>6</v>
      </c>
      <c r="E34" s="4">
        <v>6</v>
      </c>
      <c r="F34" s="4" t="s">
        <v>171</v>
      </c>
      <c r="G34" s="4">
        <v>5</v>
      </c>
      <c r="H34" s="4">
        <v>6</v>
      </c>
      <c r="I34" s="4">
        <v>5</v>
      </c>
      <c r="J34" s="4">
        <v>6</v>
      </c>
      <c r="K34" s="4">
        <v>4</v>
      </c>
      <c r="L34" s="4">
        <v>7</v>
      </c>
      <c r="M34" s="4">
        <v>7</v>
      </c>
      <c r="N34" s="4">
        <v>7</v>
      </c>
      <c r="O34" s="4">
        <v>8</v>
      </c>
      <c r="P34" s="4">
        <v>4</v>
      </c>
      <c r="Q34" s="4">
        <v>8</v>
      </c>
      <c r="R34" s="4">
        <v>9</v>
      </c>
      <c r="S34" s="4">
        <v>9</v>
      </c>
      <c r="T34" s="4">
        <v>9</v>
      </c>
      <c r="U34" s="4">
        <v>10</v>
      </c>
      <c r="V34" s="4">
        <v>10</v>
      </c>
      <c r="W34" s="4">
        <v>11</v>
      </c>
      <c r="X34" s="4">
        <v>10</v>
      </c>
      <c r="Y34" s="4">
        <v>10</v>
      </c>
    </row>
    <row r="35" spans="1:25" s="4" customFormat="1" ht="20.100000000000001" customHeight="1" x14ac:dyDescent="0.2">
      <c r="A35" s="21"/>
      <c r="B35" s="38"/>
      <c r="C35" s="4" t="s">
        <v>15</v>
      </c>
      <c r="D35" s="4">
        <v>0.15</v>
      </c>
      <c r="E35" s="4">
        <v>0.15</v>
      </c>
      <c r="F35" s="4">
        <v>0.15</v>
      </c>
      <c r="G35" s="4">
        <v>0.15</v>
      </c>
      <c r="H35" s="4">
        <v>0.15</v>
      </c>
      <c r="I35" s="4">
        <v>0.15</v>
      </c>
      <c r="J35" s="4">
        <v>0.15</v>
      </c>
      <c r="K35" s="4">
        <v>0.15</v>
      </c>
      <c r="L35" s="4">
        <v>0.15</v>
      </c>
      <c r="M35" s="4">
        <v>0.15</v>
      </c>
      <c r="N35" s="4">
        <v>0.15</v>
      </c>
      <c r="O35" s="4">
        <v>0.15</v>
      </c>
      <c r="P35" s="4">
        <v>0.15</v>
      </c>
      <c r="Q35" s="4">
        <v>0.15</v>
      </c>
      <c r="R35" s="4">
        <v>0.2</v>
      </c>
      <c r="S35" s="4">
        <v>0.2</v>
      </c>
      <c r="T35" s="4">
        <v>0.2</v>
      </c>
      <c r="U35" s="4">
        <v>0.2</v>
      </c>
      <c r="V35" s="4">
        <v>0.2</v>
      </c>
      <c r="W35" s="4">
        <v>0.2</v>
      </c>
      <c r="X35" s="4">
        <v>0.2</v>
      </c>
      <c r="Y35" s="4">
        <v>0.25</v>
      </c>
    </row>
    <row r="36" spans="1:25" s="2" customFormat="1" ht="20.100000000000001" customHeight="1" x14ac:dyDescent="0.2">
      <c r="A36" s="21"/>
      <c r="B36" s="14"/>
      <c r="C36" s="1"/>
      <c r="D36" s="1"/>
      <c r="E36" s="1"/>
    </row>
    <row r="37" spans="1:25" s="4" customFormat="1" ht="20.100000000000001" customHeight="1" x14ac:dyDescent="0.2">
      <c r="A37" s="21"/>
      <c r="B37" s="36" t="s">
        <v>18</v>
      </c>
      <c r="C37" s="4" t="s">
        <v>13</v>
      </c>
      <c r="D37" s="4">
        <v>10</v>
      </c>
      <c r="E37" s="4">
        <v>10</v>
      </c>
      <c r="F37" s="4" t="s">
        <v>171</v>
      </c>
      <c r="G37" s="4">
        <v>6</v>
      </c>
      <c r="H37" s="4">
        <v>10</v>
      </c>
      <c r="I37" s="4">
        <v>5</v>
      </c>
      <c r="J37" s="4">
        <v>10</v>
      </c>
      <c r="K37" s="4">
        <v>8</v>
      </c>
      <c r="L37" s="4">
        <v>10</v>
      </c>
      <c r="M37" s="4">
        <v>10</v>
      </c>
      <c r="N37" s="4">
        <v>10</v>
      </c>
      <c r="O37" s="4">
        <v>10</v>
      </c>
      <c r="P37" s="4">
        <v>8</v>
      </c>
      <c r="Q37" s="4">
        <v>11</v>
      </c>
      <c r="R37" s="4">
        <v>12</v>
      </c>
      <c r="S37" s="4">
        <v>12</v>
      </c>
      <c r="T37" s="4">
        <v>13</v>
      </c>
      <c r="U37" s="4">
        <v>12</v>
      </c>
      <c r="V37" s="4">
        <v>12</v>
      </c>
      <c r="W37" s="4">
        <v>12</v>
      </c>
      <c r="X37" s="4">
        <v>12</v>
      </c>
      <c r="Y37" s="4">
        <v>13</v>
      </c>
    </row>
    <row r="38" spans="1:25" s="4" customFormat="1" ht="20.100000000000001" customHeight="1" x14ac:dyDescent="0.2">
      <c r="A38" s="21"/>
      <c r="B38" s="37"/>
      <c r="C38" s="4" t="s">
        <v>7</v>
      </c>
      <c r="D38" s="4">
        <f t="shared" ref="D38:Y38" si="3">0.6*D28</f>
        <v>780</v>
      </c>
      <c r="E38" s="4">
        <f t="shared" si="3"/>
        <v>480</v>
      </c>
      <c r="F38" s="4" t="e">
        <f t="shared" si="3"/>
        <v>#VALUE!</v>
      </c>
      <c r="G38" s="4">
        <f t="shared" si="3"/>
        <v>300</v>
      </c>
      <c r="H38" s="4">
        <f t="shared" si="3"/>
        <v>540</v>
      </c>
      <c r="I38" s="4">
        <f t="shared" si="3"/>
        <v>300</v>
      </c>
      <c r="J38" s="4">
        <f t="shared" si="3"/>
        <v>720</v>
      </c>
      <c r="K38" s="4">
        <f t="shared" si="3"/>
        <v>660</v>
      </c>
      <c r="L38" s="4">
        <f t="shared" si="3"/>
        <v>540</v>
      </c>
      <c r="M38" s="4">
        <f t="shared" si="3"/>
        <v>720</v>
      </c>
      <c r="N38" s="4">
        <f t="shared" si="3"/>
        <v>600</v>
      </c>
      <c r="O38" s="4">
        <f t="shared" si="3"/>
        <v>540</v>
      </c>
      <c r="P38" s="4">
        <f t="shared" si="3"/>
        <v>720</v>
      </c>
      <c r="Q38" s="4">
        <f t="shared" si="3"/>
        <v>480</v>
      </c>
      <c r="R38" s="4">
        <f t="shared" si="3"/>
        <v>570</v>
      </c>
      <c r="S38" s="4">
        <f t="shared" si="3"/>
        <v>630</v>
      </c>
      <c r="T38" s="4">
        <f t="shared" si="3"/>
        <v>1200</v>
      </c>
      <c r="U38" s="4">
        <f t="shared" si="3"/>
        <v>930</v>
      </c>
      <c r="V38" s="4">
        <f t="shared" si="3"/>
        <v>840</v>
      </c>
      <c r="W38" s="4">
        <f t="shared" si="3"/>
        <v>600</v>
      </c>
      <c r="X38" s="4">
        <f t="shared" si="3"/>
        <v>660</v>
      </c>
      <c r="Y38" s="4">
        <f t="shared" si="3"/>
        <v>1260</v>
      </c>
    </row>
    <row r="39" spans="1:25" s="4" customFormat="1" ht="20.100000000000001" customHeight="1" x14ac:dyDescent="0.2">
      <c r="A39" s="21"/>
      <c r="B39" s="37"/>
      <c r="C39" s="4" t="s">
        <v>14</v>
      </c>
      <c r="D39" s="4">
        <v>6</v>
      </c>
      <c r="E39" s="4">
        <v>6</v>
      </c>
      <c r="F39" s="4" t="s">
        <v>171</v>
      </c>
      <c r="G39" s="4">
        <v>5</v>
      </c>
      <c r="H39" s="4">
        <v>7</v>
      </c>
      <c r="I39" s="4">
        <v>5</v>
      </c>
      <c r="J39" s="4">
        <v>6</v>
      </c>
      <c r="K39" s="4">
        <v>4</v>
      </c>
      <c r="L39" s="4">
        <v>7</v>
      </c>
      <c r="M39" s="4">
        <v>7</v>
      </c>
      <c r="N39" s="4">
        <v>7</v>
      </c>
      <c r="O39" s="4">
        <v>7</v>
      </c>
      <c r="P39" s="4">
        <v>4</v>
      </c>
      <c r="Q39" s="4">
        <v>8</v>
      </c>
      <c r="R39" s="4">
        <v>9</v>
      </c>
      <c r="S39" s="4">
        <v>9</v>
      </c>
      <c r="T39" s="4">
        <v>9</v>
      </c>
      <c r="U39" s="4">
        <v>10</v>
      </c>
      <c r="V39" s="4">
        <v>10</v>
      </c>
      <c r="W39" s="4">
        <v>11</v>
      </c>
      <c r="X39" s="4">
        <v>10</v>
      </c>
      <c r="Y39" s="4">
        <v>10</v>
      </c>
    </row>
    <row r="40" spans="1:25" s="4" customFormat="1" ht="20.100000000000001" customHeight="1" x14ac:dyDescent="0.2">
      <c r="A40" s="21"/>
      <c r="B40" s="38"/>
      <c r="C40" s="4" t="s">
        <v>15</v>
      </c>
      <c r="D40" s="4">
        <v>0.15</v>
      </c>
      <c r="E40" s="4">
        <v>0.15</v>
      </c>
      <c r="F40" s="4">
        <v>0.15</v>
      </c>
      <c r="G40" s="4">
        <v>0.15</v>
      </c>
      <c r="H40" s="4">
        <v>0.15</v>
      </c>
      <c r="I40" s="4">
        <v>0.15</v>
      </c>
      <c r="J40" s="4">
        <v>0.15</v>
      </c>
      <c r="K40" s="4">
        <v>0.15</v>
      </c>
      <c r="L40" s="4">
        <v>0.15</v>
      </c>
      <c r="M40" s="4">
        <v>0.15</v>
      </c>
      <c r="N40" s="4">
        <v>0.15</v>
      </c>
      <c r="O40" s="4">
        <v>0.15</v>
      </c>
      <c r="P40" s="4">
        <v>0.15</v>
      </c>
      <c r="Q40" s="4">
        <v>0.15</v>
      </c>
      <c r="R40" s="4">
        <v>0.2</v>
      </c>
      <c r="S40" s="4">
        <v>0.2</v>
      </c>
      <c r="T40" s="4">
        <v>0.2</v>
      </c>
      <c r="U40" s="4">
        <v>0.2</v>
      </c>
      <c r="V40" s="4">
        <v>0.2</v>
      </c>
      <c r="W40" s="4">
        <v>0.2</v>
      </c>
      <c r="X40" s="4">
        <v>0.2</v>
      </c>
      <c r="Y40" s="4">
        <v>0.25</v>
      </c>
    </row>
    <row r="41" spans="1:25" s="2" customFormat="1" ht="20.100000000000001" customHeight="1" x14ac:dyDescent="0.2">
      <c r="A41" s="21"/>
      <c r="B41" s="14"/>
      <c r="C41" s="1"/>
      <c r="D41" s="1"/>
      <c r="E41" s="1"/>
    </row>
    <row r="42" spans="1:25" s="4" customFormat="1" ht="20.100000000000001" customHeight="1" x14ac:dyDescent="0.2">
      <c r="A42" s="21"/>
      <c r="B42" s="36" t="s">
        <v>19</v>
      </c>
      <c r="C42" s="4" t="s">
        <v>7</v>
      </c>
      <c r="D42" s="4">
        <f t="shared" ref="D42:Y42" si="4">0.9*D28</f>
        <v>1170</v>
      </c>
      <c r="E42" s="4">
        <f t="shared" si="4"/>
        <v>720</v>
      </c>
      <c r="F42" s="4" t="e">
        <f t="shared" si="4"/>
        <v>#VALUE!</v>
      </c>
      <c r="G42" s="4">
        <f t="shared" si="4"/>
        <v>450</v>
      </c>
      <c r="H42" s="4">
        <f t="shared" si="4"/>
        <v>810</v>
      </c>
      <c r="I42" s="4">
        <f t="shared" si="4"/>
        <v>450</v>
      </c>
      <c r="J42" s="4">
        <f t="shared" si="4"/>
        <v>1080</v>
      </c>
      <c r="K42" s="4">
        <f t="shared" si="4"/>
        <v>990</v>
      </c>
      <c r="L42" s="4">
        <f t="shared" si="4"/>
        <v>810</v>
      </c>
      <c r="M42" s="4">
        <f t="shared" si="4"/>
        <v>1080</v>
      </c>
      <c r="N42" s="4">
        <f t="shared" si="4"/>
        <v>900</v>
      </c>
      <c r="O42" s="4">
        <f t="shared" si="4"/>
        <v>810</v>
      </c>
      <c r="P42" s="4">
        <f t="shared" si="4"/>
        <v>1080</v>
      </c>
      <c r="Q42" s="4">
        <f t="shared" si="4"/>
        <v>720</v>
      </c>
      <c r="R42" s="4">
        <f t="shared" si="4"/>
        <v>855</v>
      </c>
      <c r="S42" s="4">
        <f t="shared" si="4"/>
        <v>945</v>
      </c>
      <c r="T42" s="4">
        <f t="shared" si="4"/>
        <v>1800</v>
      </c>
      <c r="U42" s="4">
        <f t="shared" si="4"/>
        <v>1395</v>
      </c>
      <c r="V42" s="4">
        <f t="shared" si="4"/>
        <v>1260</v>
      </c>
      <c r="W42" s="4">
        <f t="shared" si="4"/>
        <v>900</v>
      </c>
      <c r="X42" s="4">
        <f t="shared" si="4"/>
        <v>990</v>
      </c>
      <c r="Y42" s="4">
        <f t="shared" si="4"/>
        <v>1890</v>
      </c>
    </row>
    <row r="43" spans="1:25" s="4" customFormat="1" ht="20.100000000000001" customHeight="1" x14ac:dyDescent="0.2">
      <c r="A43" s="21"/>
      <c r="B43" s="37"/>
      <c r="C43" s="4" t="s">
        <v>14</v>
      </c>
      <c r="D43" s="4">
        <v>6</v>
      </c>
      <c r="E43" s="4">
        <v>6</v>
      </c>
      <c r="F43" s="4" t="s">
        <v>171</v>
      </c>
      <c r="G43" s="4">
        <v>5</v>
      </c>
      <c r="H43" s="4">
        <v>5</v>
      </c>
      <c r="I43" s="4">
        <v>5</v>
      </c>
      <c r="J43" s="4">
        <v>6</v>
      </c>
      <c r="K43" s="4">
        <v>6</v>
      </c>
      <c r="L43" s="4">
        <v>7</v>
      </c>
      <c r="M43" s="4">
        <v>7</v>
      </c>
      <c r="N43" s="4">
        <v>7</v>
      </c>
      <c r="O43" s="4">
        <v>7</v>
      </c>
      <c r="P43" s="4">
        <v>4</v>
      </c>
      <c r="Q43" s="4">
        <v>8</v>
      </c>
      <c r="R43" s="4">
        <v>9</v>
      </c>
      <c r="S43" s="4">
        <v>9</v>
      </c>
      <c r="T43" s="4">
        <v>9</v>
      </c>
      <c r="U43" s="4">
        <v>10</v>
      </c>
      <c r="V43" s="4">
        <v>10</v>
      </c>
      <c r="W43" s="4">
        <v>11</v>
      </c>
      <c r="X43" s="4">
        <v>10</v>
      </c>
      <c r="Y43" s="4">
        <v>10</v>
      </c>
    </row>
    <row r="44" spans="1:25" s="4" customFormat="1" ht="20.100000000000001" customHeight="1" x14ac:dyDescent="0.2">
      <c r="A44" s="21"/>
      <c r="B44" s="38"/>
      <c r="C44" s="4" t="s">
        <v>15</v>
      </c>
      <c r="D44" s="4">
        <v>0.15</v>
      </c>
      <c r="E44" s="4">
        <v>0.15</v>
      </c>
      <c r="F44" s="4">
        <v>0.15</v>
      </c>
      <c r="G44" s="4">
        <v>0.15</v>
      </c>
      <c r="H44" s="4">
        <v>0.15</v>
      </c>
      <c r="I44" s="4">
        <v>0.15</v>
      </c>
      <c r="J44" s="4">
        <v>0.15</v>
      </c>
      <c r="K44" s="4">
        <v>0.15</v>
      </c>
      <c r="L44" s="4">
        <v>0.15</v>
      </c>
      <c r="M44" s="4">
        <v>0.15</v>
      </c>
      <c r="N44" s="4">
        <v>0.15</v>
      </c>
      <c r="O44" s="4">
        <v>0.15</v>
      </c>
      <c r="P44" s="4">
        <v>0.15</v>
      </c>
      <c r="Q44" s="4">
        <v>0.15</v>
      </c>
      <c r="R44" s="4">
        <v>0.2</v>
      </c>
      <c r="S44" s="4">
        <v>0.2</v>
      </c>
      <c r="T44" s="4">
        <v>0.2</v>
      </c>
      <c r="U44" s="4">
        <v>0.2</v>
      </c>
      <c r="V44" s="4">
        <v>0.2</v>
      </c>
      <c r="W44" s="4">
        <v>0.2</v>
      </c>
      <c r="X44" s="4">
        <v>0.2</v>
      </c>
      <c r="Y44" s="4">
        <v>0.25</v>
      </c>
    </row>
    <row r="45" spans="1:25" s="2" customFormat="1" ht="20.100000000000001" customHeight="1" x14ac:dyDescent="0.2">
      <c r="A45" s="21"/>
      <c r="D45" s="7"/>
      <c r="E45" s="7"/>
    </row>
    <row r="46" spans="1:25" s="4" customFormat="1" ht="20.100000000000001" customHeight="1" x14ac:dyDescent="0.2">
      <c r="A46" s="21"/>
      <c r="B46" s="36" t="s">
        <v>30</v>
      </c>
      <c r="C46" s="4">
        <v>1</v>
      </c>
    </row>
    <row r="47" spans="1:25" s="4" customFormat="1" ht="20.100000000000001" customHeight="1" x14ac:dyDescent="0.2">
      <c r="A47" s="21"/>
      <c r="B47" s="37"/>
      <c r="C47" s="4">
        <v>2</v>
      </c>
    </row>
    <row r="48" spans="1:25" s="4" customFormat="1" ht="20.100000000000001" customHeight="1" x14ac:dyDescent="0.2">
      <c r="A48" s="21"/>
      <c r="B48" s="38"/>
      <c r="C48" s="4">
        <v>3</v>
      </c>
    </row>
    <row r="49" spans="1:25" s="2" customFormat="1" ht="20.100000000000001" customHeight="1" x14ac:dyDescent="0.2">
      <c r="A49" s="21"/>
      <c r="B49" s="15"/>
      <c r="C49" s="7"/>
      <c r="D49" s="8"/>
      <c r="E49" s="8"/>
    </row>
    <row r="50" spans="1:25" s="4" customFormat="1" ht="20.100000000000001" customHeight="1" x14ac:dyDescent="0.2">
      <c r="A50" s="21"/>
      <c r="B50" s="36" t="s">
        <v>28</v>
      </c>
      <c r="C50" s="4" t="s">
        <v>29</v>
      </c>
      <c r="D50" s="4">
        <f t="shared" ref="D50:P50" si="5">D22+D27+D32+D37</f>
        <v>58</v>
      </c>
      <c r="E50" s="4">
        <f t="shared" si="5"/>
        <v>58</v>
      </c>
      <c r="F50" s="4" t="e">
        <f t="shared" si="5"/>
        <v>#VALUE!</v>
      </c>
      <c r="G50" s="4">
        <f t="shared" si="5"/>
        <v>27</v>
      </c>
      <c r="H50" s="4">
        <f t="shared" si="5"/>
        <v>60</v>
      </c>
      <c r="I50" s="4">
        <f t="shared" si="5"/>
        <v>26</v>
      </c>
      <c r="J50" s="4">
        <f t="shared" si="5"/>
        <v>61</v>
      </c>
      <c r="K50" s="4">
        <f t="shared" si="5"/>
        <v>45</v>
      </c>
      <c r="L50" s="4">
        <f t="shared" si="5"/>
        <v>61</v>
      </c>
      <c r="M50" s="4">
        <f t="shared" si="5"/>
        <v>61</v>
      </c>
      <c r="N50" s="4">
        <f t="shared" si="5"/>
        <v>61</v>
      </c>
      <c r="O50" s="4">
        <f t="shared" si="5"/>
        <v>61</v>
      </c>
      <c r="P50" s="4">
        <f t="shared" si="5"/>
        <v>46</v>
      </c>
      <c r="Q50" s="4">
        <f t="shared" ref="Q50:Y50" si="6">Q22+Q27+Q32+Q37</f>
        <v>66</v>
      </c>
      <c r="R50" s="4">
        <f t="shared" si="6"/>
        <v>70</v>
      </c>
      <c r="S50" s="4">
        <f t="shared" si="6"/>
        <v>70</v>
      </c>
      <c r="T50" s="4">
        <f t="shared" si="6"/>
        <v>74</v>
      </c>
      <c r="U50" s="4">
        <f t="shared" si="6"/>
        <v>70</v>
      </c>
      <c r="V50" s="4">
        <f t="shared" si="6"/>
        <v>72</v>
      </c>
      <c r="W50" s="4">
        <f t="shared" si="6"/>
        <v>72</v>
      </c>
      <c r="X50" s="4">
        <f t="shared" si="6"/>
        <v>72</v>
      </c>
      <c r="Y50" s="4">
        <f t="shared" si="6"/>
        <v>76</v>
      </c>
    </row>
    <row r="51" spans="1:25" s="4" customFormat="1" ht="20.100000000000001" customHeight="1" x14ac:dyDescent="0.2">
      <c r="A51" s="21"/>
      <c r="B51" s="37"/>
      <c r="C51" s="4" t="s">
        <v>129</v>
      </c>
      <c r="D51" s="4">
        <f t="shared" ref="D51:P51" si="7">D24+D29+D34+D39+D43</f>
        <v>30</v>
      </c>
      <c r="E51" s="4">
        <f t="shared" si="7"/>
        <v>30</v>
      </c>
      <c r="F51" s="4" t="e">
        <f t="shared" si="7"/>
        <v>#VALUE!</v>
      </c>
      <c r="G51" s="4">
        <f t="shared" si="7"/>
        <v>25</v>
      </c>
      <c r="H51" s="4">
        <f t="shared" si="7"/>
        <v>31</v>
      </c>
      <c r="I51" s="4">
        <f t="shared" si="7"/>
        <v>25</v>
      </c>
      <c r="J51" s="4">
        <f t="shared" si="7"/>
        <v>30</v>
      </c>
      <c r="K51" s="4">
        <f t="shared" si="7"/>
        <v>22</v>
      </c>
      <c r="L51" s="4">
        <f t="shared" si="7"/>
        <v>35</v>
      </c>
      <c r="M51" s="4">
        <f t="shared" si="7"/>
        <v>35</v>
      </c>
      <c r="N51" s="4">
        <f t="shared" si="7"/>
        <v>35</v>
      </c>
      <c r="O51" s="4">
        <f t="shared" si="7"/>
        <v>37</v>
      </c>
      <c r="P51" s="4">
        <f t="shared" si="7"/>
        <v>20</v>
      </c>
      <c r="Q51" s="4">
        <f t="shared" ref="Q51:Y51" si="8">Q24+Q29+Q34+Q39+Q43</f>
        <v>40</v>
      </c>
      <c r="R51" s="4">
        <f t="shared" si="8"/>
        <v>45</v>
      </c>
      <c r="S51" s="4">
        <f t="shared" si="8"/>
        <v>45</v>
      </c>
      <c r="T51" s="4">
        <f t="shared" si="8"/>
        <v>45</v>
      </c>
      <c r="U51" s="4">
        <f t="shared" si="8"/>
        <v>50</v>
      </c>
      <c r="V51" s="4">
        <f t="shared" si="8"/>
        <v>50</v>
      </c>
      <c r="W51" s="4">
        <f t="shared" si="8"/>
        <v>55</v>
      </c>
      <c r="X51" s="4">
        <f t="shared" si="8"/>
        <v>50</v>
      </c>
      <c r="Y51" s="4">
        <f t="shared" si="8"/>
        <v>50</v>
      </c>
    </row>
    <row r="52" spans="1:25" s="4" customFormat="1" ht="20.100000000000001" customHeight="1" x14ac:dyDescent="0.2">
      <c r="A52" s="21"/>
      <c r="B52" s="38"/>
      <c r="C52" s="4" t="s">
        <v>130</v>
      </c>
      <c r="D52" s="4">
        <f t="shared" ref="D52:P52" si="9">D50*(1+D51*0.02)</f>
        <v>92.800000000000011</v>
      </c>
      <c r="E52" s="4">
        <f t="shared" si="9"/>
        <v>92.800000000000011</v>
      </c>
      <c r="F52" s="4" t="e">
        <f t="shared" si="9"/>
        <v>#VALUE!</v>
      </c>
      <c r="G52" s="4">
        <f t="shared" si="9"/>
        <v>40.5</v>
      </c>
      <c r="H52" s="4">
        <f t="shared" si="9"/>
        <v>97.2</v>
      </c>
      <c r="I52" s="4">
        <f t="shared" si="9"/>
        <v>39</v>
      </c>
      <c r="J52" s="4">
        <f t="shared" si="9"/>
        <v>97.600000000000009</v>
      </c>
      <c r="K52" s="4">
        <f t="shared" si="9"/>
        <v>64.8</v>
      </c>
      <c r="L52" s="4">
        <f t="shared" si="9"/>
        <v>103.70000000000002</v>
      </c>
      <c r="M52" s="4">
        <f t="shared" si="9"/>
        <v>103.70000000000002</v>
      </c>
      <c r="N52" s="4">
        <f t="shared" si="9"/>
        <v>103.70000000000002</v>
      </c>
      <c r="O52" s="4">
        <f t="shared" si="9"/>
        <v>106.14</v>
      </c>
      <c r="P52" s="4">
        <f t="shared" si="9"/>
        <v>64.399999999999991</v>
      </c>
      <c r="Q52" s="4">
        <f t="shared" ref="Q52:Y52" si="10">Q50*(1+Q51*0.02)</f>
        <v>118.8</v>
      </c>
      <c r="R52" s="4">
        <f t="shared" si="10"/>
        <v>133</v>
      </c>
      <c r="S52" s="4">
        <f t="shared" si="10"/>
        <v>133</v>
      </c>
      <c r="T52" s="4">
        <f t="shared" si="10"/>
        <v>140.6</v>
      </c>
      <c r="U52" s="4">
        <f t="shared" si="10"/>
        <v>140</v>
      </c>
      <c r="V52" s="4">
        <f t="shared" si="10"/>
        <v>144</v>
      </c>
      <c r="W52" s="4">
        <f t="shared" si="10"/>
        <v>151.20000000000002</v>
      </c>
      <c r="X52" s="4">
        <f t="shared" si="10"/>
        <v>144</v>
      </c>
      <c r="Y52" s="4">
        <f t="shared" si="10"/>
        <v>152</v>
      </c>
    </row>
    <row r="53" spans="1:25" s="7" customFormat="1" ht="20.100000000000001" customHeight="1" x14ac:dyDescent="0.2">
      <c r="A53" s="2"/>
      <c r="B53" s="8"/>
      <c r="C53" s="8"/>
    </row>
    <row r="54" spans="1:25" s="5" customFormat="1" ht="20.100000000000001" customHeight="1" x14ac:dyDescent="0.2">
      <c r="A54" s="35" t="s">
        <v>136</v>
      </c>
      <c r="B54" s="35" t="s">
        <v>20</v>
      </c>
      <c r="C54" s="5" t="s">
        <v>21</v>
      </c>
    </row>
    <row r="55" spans="1:25" s="5" customFormat="1" ht="20.100000000000001" customHeight="1" x14ac:dyDescent="0.2">
      <c r="A55" s="22"/>
      <c r="B55" s="22"/>
      <c r="C55" s="5" t="s">
        <v>7</v>
      </c>
    </row>
    <row r="56" spans="1:25" s="5" customFormat="1" ht="20.100000000000001" customHeight="1" x14ac:dyDescent="0.2">
      <c r="A56" s="22"/>
      <c r="B56" s="22"/>
      <c r="C56" s="5" t="s">
        <v>22</v>
      </c>
    </row>
    <row r="57" spans="1:25" s="5" customFormat="1" ht="20.100000000000001" customHeight="1" x14ac:dyDescent="0.2">
      <c r="A57" s="22"/>
      <c r="B57" s="23"/>
      <c r="C57" s="5" t="s">
        <v>23</v>
      </c>
    </row>
    <row r="58" spans="1:25" s="5" customFormat="1" ht="20.100000000000001" customHeight="1" x14ac:dyDescent="0.2">
      <c r="A58" s="22"/>
      <c r="B58" s="35" t="s">
        <v>30</v>
      </c>
      <c r="C58" s="5">
        <v>1</v>
      </c>
    </row>
    <row r="59" spans="1:25" s="5" customFormat="1" ht="20.100000000000001" customHeight="1" x14ac:dyDescent="0.2">
      <c r="A59" s="22"/>
      <c r="B59" s="22"/>
      <c r="C59" s="5">
        <v>2</v>
      </c>
    </row>
    <row r="60" spans="1:25" s="5" customFormat="1" ht="20.100000000000001" customHeight="1" x14ac:dyDescent="0.2">
      <c r="A60" s="22"/>
      <c r="B60" s="23"/>
      <c r="C60" s="5">
        <v>3</v>
      </c>
    </row>
    <row r="61" spans="1:25" s="2" customFormat="1" ht="20.100000000000001" customHeight="1" x14ac:dyDescent="0.2">
      <c r="A61" s="22"/>
      <c r="B61" s="9"/>
      <c r="C61" s="9"/>
      <c r="D61" s="9"/>
      <c r="E61" s="9"/>
    </row>
    <row r="62" spans="1:25" s="5" customFormat="1" ht="20.100000000000001" customHeight="1" x14ac:dyDescent="0.2">
      <c r="A62" s="22"/>
      <c r="B62" s="35" t="s">
        <v>25</v>
      </c>
      <c r="C62" s="5" t="s">
        <v>2</v>
      </c>
    </row>
    <row r="63" spans="1:25" s="5" customFormat="1" ht="20.100000000000001" customHeight="1" x14ac:dyDescent="0.2">
      <c r="A63" s="22"/>
      <c r="B63" s="22"/>
      <c r="C63" s="5" t="s">
        <v>23</v>
      </c>
    </row>
    <row r="64" spans="1:25" s="5" customFormat="1" ht="20.100000000000001" customHeight="1" x14ac:dyDescent="0.2">
      <c r="A64" s="23"/>
      <c r="B64" s="23"/>
      <c r="C64" s="5" t="s">
        <v>6</v>
      </c>
    </row>
    <row r="65" spans="1:25" s="2" customFormat="1" ht="20.100000000000001" customHeight="1" x14ac:dyDescent="0.2"/>
    <row r="66" spans="1:25" s="6" customFormat="1" ht="20.100000000000001" customHeight="1" x14ac:dyDescent="0.2">
      <c r="A66" s="30" t="s">
        <v>26</v>
      </c>
      <c r="B66" s="6" t="s">
        <v>10</v>
      </c>
      <c r="C66" s="6" t="s">
        <v>11</v>
      </c>
      <c r="D66" s="6">
        <v>1</v>
      </c>
      <c r="E66" s="6">
        <v>1</v>
      </c>
      <c r="F66" s="6">
        <v>0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1</v>
      </c>
      <c r="Y66" s="6">
        <v>1</v>
      </c>
    </row>
    <row r="67" spans="1:25" s="4" customFormat="1" ht="20.100000000000001" customHeight="1" x14ac:dyDescent="0.2">
      <c r="A67" s="31"/>
      <c r="B67" s="4" t="s">
        <v>132</v>
      </c>
      <c r="C67" s="4" t="s">
        <v>135</v>
      </c>
      <c r="D67" s="4">
        <v>1</v>
      </c>
      <c r="E67" s="4">
        <v>1</v>
      </c>
      <c r="F67" s="4">
        <v>0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0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</row>
    <row r="68" spans="1:25" s="4" customFormat="1" ht="20.100000000000001" customHeight="1" x14ac:dyDescent="0.2">
      <c r="A68" s="31"/>
      <c r="B68" s="4" t="s">
        <v>133</v>
      </c>
      <c r="C68" s="4" t="s">
        <v>135</v>
      </c>
      <c r="D68" s="4">
        <v>1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</row>
    <row r="69" spans="1:25" s="5" customFormat="1" ht="20.100000000000001" customHeight="1" x14ac:dyDescent="0.2">
      <c r="A69" s="32"/>
      <c r="B69" s="5" t="s">
        <v>134</v>
      </c>
      <c r="C69" s="5" t="s">
        <v>135</v>
      </c>
      <c r="D69" s="5">
        <v>0</v>
      </c>
      <c r="E69" s="5">
        <v>0</v>
      </c>
      <c r="F69" s="5">
        <v>1</v>
      </c>
      <c r="G69" s="5">
        <v>0</v>
      </c>
      <c r="H69" s="5">
        <v>1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1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</row>
  </sheetData>
  <mergeCells count="17">
    <mergeCell ref="B50:B52"/>
    <mergeCell ref="A66:A69"/>
    <mergeCell ref="A9:A20"/>
    <mergeCell ref="B58:B60"/>
    <mergeCell ref="B9:B12"/>
    <mergeCell ref="B13:B15"/>
    <mergeCell ref="B17:B20"/>
    <mergeCell ref="B22:B25"/>
    <mergeCell ref="B27:B30"/>
    <mergeCell ref="A22:A52"/>
    <mergeCell ref="B46:B48"/>
    <mergeCell ref="A54:A64"/>
    <mergeCell ref="B54:B57"/>
    <mergeCell ref="B62:B64"/>
    <mergeCell ref="B32:B35"/>
    <mergeCell ref="B37:B40"/>
    <mergeCell ref="B42:B44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6B60-4F3A-4D99-AC29-6361CD3DE12A}">
  <dimension ref="A1:R67"/>
  <sheetViews>
    <sheetView topLeftCell="B1" workbookViewId="0">
      <selection activeCell="C6" sqref="C4:C6"/>
    </sheetView>
  </sheetViews>
  <sheetFormatPr defaultColWidth="16.625" defaultRowHeight="20.100000000000001" customHeight="1" x14ac:dyDescent="0.2"/>
  <cols>
    <col min="1" max="3" width="16.625" style="2"/>
  </cols>
  <sheetData>
    <row r="1" spans="1:14" ht="20.100000000000001" customHeight="1" x14ac:dyDescent="0.2">
      <c r="D1" s="2"/>
      <c r="E1" s="2"/>
    </row>
    <row r="2" spans="1:14" ht="20.100000000000001" customHeight="1" x14ac:dyDescent="0.2">
      <c r="D2" s="2"/>
      <c r="E2" s="2"/>
    </row>
    <row r="3" spans="1:14" ht="20.100000000000001" customHeight="1" x14ac:dyDescent="0.2">
      <c r="D3" s="2" t="s">
        <v>0</v>
      </c>
      <c r="E3" s="2"/>
    </row>
    <row r="4" spans="1:14" s="11" customFormat="1" ht="20.100000000000001" customHeight="1" x14ac:dyDescent="0.2">
      <c r="A4" s="1"/>
      <c r="B4" s="1"/>
      <c r="C4" s="1"/>
      <c r="D4" s="1" t="s">
        <v>196</v>
      </c>
      <c r="E4" s="1" t="s">
        <v>117</v>
      </c>
      <c r="F4" s="1" t="s">
        <v>118</v>
      </c>
      <c r="G4" s="1" t="s">
        <v>102</v>
      </c>
      <c r="H4" s="1" t="s">
        <v>119</v>
      </c>
      <c r="I4" s="1" t="s">
        <v>120</v>
      </c>
      <c r="J4" s="1" t="s">
        <v>121</v>
      </c>
      <c r="K4" s="1" t="s">
        <v>172</v>
      </c>
      <c r="L4" s="1" t="s">
        <v>122</v>
      </c>
      <c r="M4" s="1" t="s">
        <v>123</v>
      </c>
      <c r="N4" s="1" t="s">
        <v>209</v>
      </c>
    </row>
    <row r="5" spans="1:14" s="11" customFormat="1" ht="20.100000000000001" customHeight="1" x14ac:dyDescent="0.2">
      <c r="A5" s="1"/>
      <c r="B5" s="1"/>
      <c r="C5" s="1" t="s">
        <v>124</v>
      </c>
      <c r="D5" s="1">
        <v>6</v>
      </c>
      <c r="E5" s="1">
        <v>6</v>
      </c>
      <c r="F5" s="1">
        <v>6</v>
      </c>
      <c r="G5" s="1">
        <v>6</v>
      </c>
      <c r="H5" s="1">
        <v>6</v>
      </c>
      <c r="I5" s="1">
        <v>6</v>
      </c>
      <c r="J5" s="1">
        <v>6</v>
      </c>
      <c r="K5" s="1">
        <v>6</v>
      </c>
      <c r="L5" s="1">
        <v>7</v>
      </c>
      <c r="M5" s="1">
        <v>7</v>
      </c>
      <c r="N5" s="1">
        <v>7</v>
      </c>
    </row>
    <row r="6" spans="1:14" s="11" customFormat="1" ht="20.100000000000001" customHeight="1" x14ac:dyDescent="0.2">
      <c r="A6" s="1"/>
      <c r="B6" s="1"/>
      <c r="C6" s="1" t="s">
        <v>125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2</v>
      </c>
      <c r="J6" s="1">
        <v>3</v>
      </c>
      <c r="K6" s="1">
        <v>3</v>
      </c>
      <c r="L6" s="1">
        <v>1</v>
      </c>
      <c r="M6" s="1">
        <v>2</v>
      </c>
      <c r="N6" s="1">
        <v>2</v>
      </c>
    </row>
    <row r="7" spans="1:14" s="3" customFormat="1" ht="20.100000000000001" customHeight="1" x14ac:dyDescent="0.2">
      <c r="A7" s="20" t="s">
        <v>137</v>
      </c>
      <c r="B7" s="18" t="s">
        <v>24</v>
      </c>
      <c r="C7" s="3" t="s">
        <v>6</v>
      </c>
      <c r="D7" s="3">
        <v>17</v>
      </c>
    </row>
    <row r="8" spans="1:14" s="3" customFormat="1" ht="20.100000000000001" customHeight="1" x14ac:dyDescent="0.2">
      <c r="A8" s="20"/>
      <c r="B8" s="18"/>
      <c r="C8" s="3" t="s">
        <v>7</v>
      </c>
      <c r="D8" s="3">
        <v>200</v>
      </c>
    </row>
    <row r="9" spans="1:14" s="3" customFormat="1" ht="20.100000000000001" customHeight="1" x14ac:dyDescent="0.2">
      <c r="A9" s="20"/>
      <c r="B9" s="18"/>
      <c r="C9" s="3" t="s">
        <v>8</v>
      </c>
      <c r="D9" s="3">
        <v>6</v>
      </c>
    </row>
    <row r="10" spans="1:14" s="3" customFormat="1" ht="20.100000000000001" customHeight="1" x14ac:dyDescent="0.2">
      <c r="A10" s="20"/>
      <c r="B10" s="18"/>
      <c r="C10" s="3" t="s">
        <v>9</v>
      </c>
      <c r="D10" s="3" t="s">
        <v>27</v>
      </c>
    </row>
    <row r="11" spans="1:14" s="3" customFormat="1" ht="20.100000000000001" customHeight="1" x14ac:dyDescent="0.2">
      <c r="A11" s="20"/>
      <c r="B11" s="18" t="s">
        <v>30</v>
      </c>
      <c r="C11" s="3">
        <v>1</v>
      </c>
    </row>
    <row r="12" spans="1:14" s="3" customFormat="1" ht="20.100000000000001" customHeight="1" x14ac:dyDescent="0.2">
      <c r="A12" s="20"/>
      <c r="B12" s="18"/>
      <c r="C12" s="3">
        <v>2</v>
      </c>
    </row>
    <row r="13" spans="1:14" s="3" customFormat="1" ht="20.100000000000001" customHeight="1" x14ac:dyDescent="0.2">
      <c r="A13" s="20"/>
      <c r="B13" s="18"/>
      <c r="C13" s="3">
        <v>3</v>
      </c>
    </row>
    <row r="14" spans="1:14" s="2" customFormat="1" ht="20.100000000000001" customHeight="1" x14ac:dyDescent="0.2">
      <c r="A14" s="20"/>
    </row>
    <row r="15" spans="1:14" s="3" customFormat="1" ht="20.100000000000001" customHeight="1" x14ac:dyDescent="0.2">
      <c r="A15" s="20"/>
      <c r="B15" s="24" t="s">
        <v>1</v>
      </c>
      <c r="C15" s="3" t="s">
        <v>2</v>
      </c>
      <c r="D15" s="3">
        <v>0</v>
      </c>
    </row>
    <row r="16" spans="1:14" s="3" customFormat="1" ht="20.100000000000001" customHeight="1" x14ac:dyDescent="0.2">
      <c r="A16" s="20"/>
      <c r="B16" s="25"/>
      <c r="C16" s="3" t="s">
        <v>3</v>
      </c>
      <c r="D16" s="3">
        <v>0.3</v>
      </c>
    </row>
    <row r="17" spans="1:5" s="3" customFormat="1" ht="20.100000000000001" customHeight="1" x14ac:dyDescent="0.2">
      <c r="A17" s="20"/>
      <c r="B17" s="25"/>
      <c r="C17" s="3" t="s">
        <v>4</v>
      </c>
      <c r="D17" s="3">
        <v>0.05</v>
      </c>
    </row>
    <row r="18" spans="1:5" s="3" customFormat="1" ht="20.100000000000001" customHeight="1" x14ac:dyDescent="0.2">
      <c r="A18" s="20"/>
      <c r="B18" s="26"/>
      <c r="C18" s="3" t="s">
        <v>5</v>
      </c>
      <c r="D18" s="3">
        <v>0</v>
      </c>
    </row>
    <row r="19" spans="1:5" s="2" customFormat="1" ht="20.100000000000001" customHeight="1" x14ac:dyDescent="0.2">
      <c r="B19" s="10"/>
      <c r="C19" s="10"/>
      <c r="D19" s="10"/>
      <c r="E19" s="10"/>
    </row>
    <row r="20" spans="1:5" s="4" customFormat="1" ht="20.100000000000001" customHeight="1" x14ac:dyDescent="0.2">
      <c r="A20" s="21" t="s">
        <v>131</v>
      </c>
      <c r="B20" s="39" t="s">
        <v>12</v>
      </c>
      <c r="C20" s="4" t="s">
        <v>13</v>
      </c>
    </row>
    <row r="21" spans="1:5" s="4" customFormat="1" ht="20.100000000000001" customHeight="1" x14ac:dyDescent="0.2">
      <c r="A21" s="21"/>
      <c r="B21" s="39"/>
      <c r="C21" s="4" t="s">
        <v>7</v>
      </c>
    </row>
    <row r="22" spans="1:5" s="4" customFormat="1" ht="20.100000000000001" customHeight="1" x14ac:dyDescent="0.2">
      <c r="A22" s="21"/>
      <c r="B22" s="39"/>
      <c r="C22" s="4" t="s">
        <v>14</v>
      </c>
    </row>
    <row r="23" spans="1:5" s="4" customFormat="1" ht="20.100000000000001" customHeight="1" x14ac:dyDescent="0.2">
      <c r="A23" s="21"/>
      <c r="B23" s="39"/>
      <c r="C23" s="4" t="s">
        <v>15</v>
      </c>
    </row>
    <row r="24" spans="1:5" s="2" customFormat="1" ht="20.100000000000001" customHeight="1" x14ac:dyDescent="0.2">
      <c r="A24" s="21"/>
      <c r="B24" s="12"/>
      <c r="C24" s="10"/>
      <c r="D24" s="10"/>
      <c r="E24" s="10"/>
    </row>
    <row r="25" spans="1:5" s="4" customFormat="1" ht="20.100000000000001" customHeight="1" x14ac:dyDescent="0.2">
      <c r="A25" s="21"/>
      <c r="B25" s="39" t="s">
        <v>16</v>
      </c>
      <c r="C25" s="4" t="s">
        <v>13</v>
      </c>
    </row>
    <row r="26" spans="1:5" s="4" customFormat="1" ht="20.100000000000001" customHeight="1" x14ac:dyDescent="0.2">
      <c r="A26" s="21"/>
      <c r="B26" s="39"/>
      <c r="C26" s="4" t="s">
        <v>7</v>
      </c>
    </row>
    <row r="27" spans="1:5" s="4" customFormat="1" ht="20.100000000000001" customHeight="1" x14ac:dyDescent="0.2">
      <c r="A27" s="21"/>
      <c r="B27" s="39"/>
      <c r="C27" s="4" t="s">
        <v>14</v>
      </c>
    </row>
    <row r="28" spans="1:5" s="4" customFormat="1" ht="20.100000000000001" customHeight="1" x14ac:dyDescent="0.2">
      <c r="A28" s="21"/>
      <c r="B28" s="39"/>
      <c r="C28" s="4" t="s">
        <v>15</v>
      </c>
    </row>
    <row r="29" spans="1:5" s="2" customFormat="1" ht="20.100000000000001" customHeight="1" x14ac:dyDescent="0.2">
      <c r="A29" s="21"/>
      <c r="B29" s="13"/>
      <c r="C29" s="9"/>
      <c r="D29" s="9"/>
      <c r="E29" s="9"/>
    </row>
    <row r="30" spans="1:5" s="4" customFormat="1" ht="20.100000000000001" customHeight="1" x14ac:dyDescent="0.2">
      <c r="A30" s="21"/>
      <c r="B30" s="36" t="s">
        <v>17</v>
      </c>
      <c r="C30" s="4" t="s">
        <v>13</v>
      </c>
    </row>
    <row r="31" spans="1:5" s="4" customFormat="1" ht="20.100000000000001" customHeight="1" x14ac:dyDescent="0.2">
      <c r="A31" s="21"/>
      <c r="B31" s="37"/>
      <c r="C31" s="4" t="s">
        <v>7</v>
      </c>
    </row>
    <row r="32" spans="1:5" s="4" customFormat="1" ht="20.100000000000001" customHeight="1" x14ac:dyDescent="0.2">
      <c r="A32" s="21"/>
      <c r="B32" s="37"/>
      <c r="C32" s="4" t="s">
        <v>14</v>
      </c>
    </row>
    <row r="33" spans="1:18" s="4" customFormat="1" ht="20.100000000000001" customHeight="1" x14ac:dyDescent="0.2">
      <c r="A33" s="21"/>
      <c r="B33" s="38"/>
      <c r="C33" s="4" t="s">
        <v>15</v>
      </c>
    </row>
    <row r="34" spans="1:18" s="2" customFormat="1" ht="20.100000000000001" customHeight="1" x14ac:dyDescent="0.2">
      <c r="A34" s="21"/>
      <c r="B34" s="14"/>
      <c r="C34" s="1"/>
      <c r="D34" s="1"/>
      <c r="E34" s="1"/>
    </row>
    <row r="35" spans="1:18" s="4" customFormat="1" ht="20.100000000000001" customHeight="1" x14ac:dyDescent="0.2">
      <c r="A35" s="21"/>
      <c r="B35" s="36" t="s">
        <v>18</v>
      </c>
      <c r="C35" s="4" t="s">
        <v>13</v>
      </c>
    </row>
    <row r="36" spans="1:18" s="4" customFormat="1" ht="20.100000000000001" customHeight="1" x14ac:dyDescent="0.2">
      <c r="A36" s="21"/>
      <c r="B36" s="37"/>
      <c r="C36" s="4" t="s">
        <v>7</v>
      </c>
    </row>
    <row r="37" spans="1:18" s="4" customFormat="1" ht="20.100000000000001" customHeight="1" x14ac:dyDescent="0.2">
      <c r="A37" s="21"/>
      <c r="B37" s="37"/>
      <c r="C37" s="4" t="s">
        <v>14</v>
      </c>
    </row>
    <row r="38" spans="1:18" s="4" customFormat="1" ht="20.100000000000001" customHeight="1" x14ac:dyDescent="0.2">
      <c r="A38" s="21"/>
      <c r="B38" s="38"/>
      <c r="C38" s="4" t="s">
        <v>15</v>
      </c>
    </row>
    <row r="39" spans="1:18" s="2" customFormat="1" ht="20.100000000000001" customHeight="1" x14ac:dyDescent="0.2">
      <c r="A39" s="21"/>
      <c r="B39" s="14"/>
      <c r="C39" s="1"/>
      <c r="D39" s="1"/>
      <c r="E39" s="1"/>
    </row>
    <row r="40" spans="1:18" s="4" customFormat="1" ht="20.100000000000001" customHeight="1" x14ac:dyDescent="0.2">
      <c r="A40" s="21"/>
      <c r="B40" s="36" t="s">
        <v>19</v>
      </c>
      <c r="C40" s="4" t="s">
        <v>7</v>
      </c>
    </row>
    <row r="41" spans="1:18" s="4" customFormat="1" ht="20.100000000000001" customHeight="1" x14ac:dyDescent="0.2">
      <c r="A41" s="21"/>
      <c r="B41" s="37"/>
      <c r="C41" s="4" t="s">
        <v>14</v>
      </c>
    </row>
    <row r="42" spans="1:18" s="4" customFormat="1" ht="20.100000000000001" customHeight="1" x14ac:dyDescent="0.2">
      <c r="A42" s="21"/>
      <c r="B42" s="38"/>
      <c r="C42" s="4" t="s">
        <v>15</v>
      </c>
    </row>
    <row r="43" spans="1:18" s="2" customFormat="1" ht="20.100000000000001" customHeight="1" x14ac:dyDescent="0.2">
      <c r="A43" s="21"/>
      <c r="D43" s="7"/>
      <c r="E43" s="7"/>
    </row>
    <row r="44" spans="1:18" s="4" customFormat="1" ht="20.100000000000001" customHeight="1" x14ac:dyDescent="0.2">
      <c r="A44" s="21"/>
      <c r="B44" s="36" t="s">
        <v>30</v>
      </c>
      <c r="C44" s="4">
        <v>1</v>
      </c>
    </row>
    <row r="45" spans="1:18" s="4" customFormat="1" ht="20.100000000000001" customHeight="1" x14ac:dyDescent="0.2">
      <c r="A45" s="21"/>
      <c r="B45" s="37"/>
      <c r="C45" s="4">
        <v>2</v>
      </c>
    </row>
    <row r="46" spans="1:18" s="4" customFormat="1" ht="20.100000000000001" customHeight="1" x14ac:dyDescent="0.2">
      <c r="A46" s="21"/>
      <c r="B46" s="38"/>
      <c r="C46" s="4">
        <v>3</v>
      </c>
    </row>
    <row r="47" spans="1:18" s="2" customFormat="1" ht="20.100000000000001" customHeight="1" x14ac:dyDescent="0.2">
      <c r="A47" s="21"/>
      <c r="B47" s="15"/>
      <c r="C47" s="7"/>
      <c r="D47" s="8"/>
      <c r="E47" s="8"/>
    </row>
    <row r="48" spans="1:18" s="4" customFormat="1" ht="20.100000000000001" customHeight="1" x14ac:dyDescent="0.2">
      <c r="A48" s="21"/>
      <c r="B48" s="36" t="s">
        <v>28</v>
      </c>
      <c r="C48" s="4" t="s">
        <v>29</v>
      </c>
      <c r="D48" s="4">
        <f t="shared" ref="D48:R48" si="0">D20+D25+D30+D35</f>
        <v>0</v>
      </c>
      <c r="E48" s="4">
        <f t="shared" si="0"/>
        <v>0</v>
      </c>
      <c r="F48" s="4">
        <f>F20+F25+F30+F35</f>
        <v>0</v>
      </c>
      <c r="G48" s="4">
        <f t="shared" si="0"/>
        <v>0</v>
      </c>
      <c r="H48" s="4">
        <f t="shared" si="0"/>
        <v>0</v>
      </c>
      <c r="I48" s="4">
        <f t="shared" si="0"/>
        <v>0</v>
      </c>
      <c r="J48" s="4">
        <f t="shared" si="0"/>
        <v>0</v>
      </c>
      <c r="K48" s="4">
        <f t="shared" si="0"/>
        <v>0</v>
      </c>
      <c r="L48" s="4">
        <f t="shared" si="0"/>
        <v>0</v>
      </c>
      <c r="M48" s="4">
        <f t="shared" si="0"/>
        <v>0</v>
      </c>
      <c r="N48" s="4">
        <f t="shared" si="0"/>
        <v>0</v>
      </c>
      <c r="O48" s="4">
        <f t="shared" si="0"/>
        <v>0</v>
      </c>
      <c r="P48" s="4">
        <f t="shared" si="0"/>
        <v>0</v>
      </c>
      <c r="Q48" s="4">
        <f t="shared" si="0"/>
        <v>0</v>
      </c>
      <c r="R48" s="4">
        <f t="shared" si="0"/>
        <v>0</v>
      </c>
    </row>
    <row r="49" spans="1:18" s="4" customFormat="1" ht="20.100000000000001" customHeight="1" x14ac:dyDescent="0.2">
      <c r="A49" s="21"/>
      <c r="B49" s="37"/>
      <c r="C49" s="4" t="s">
        <v>129</v>
      </c>
      <c r="D49" s="4">
        <f t="shared" ref="D49:R49" si="1">D22+D27+D32+D37+D41</f>
        <v>0</v>
      </c>
      <c r="E49" s="4">
        <f t="shared" si="1"/>
        <v>0</v>
      </c>
      <c r="F49" s="4">
        <f>F22+F27+F32+F37+F41</f>
        <v>0</v>
      </c>
      <c r="G49" s="4">
        <f t="shared" si="1"/>
        <v>0</v>
      </c>
      <c r="H49" s="4">
        <f t="shared" si="1"/>
        <v>0</v>
      </c>
      <c r="I49" s="4">
        <f t="shared" si="1"/>
        <v>0</v>
      </c>
      <c r="J49" s="4">
        <f t="shared" si="1"/>
        <v>0</v>
      </c>
      <c r="K49" s="4">
        <f t="shared" si="1"/>
        <v>0</v>
      </c>
      <c r="L49" s="4">
        <f t="shared" si="1"/>
        <v>0</v>
      </c>
      <c r="M49" s="4">
        <f t="shared" si="1"/>
        <v>0</v>
      </c>
      <c r="N49" s="4">
        <f t="shared" si="1"/>
        <v>0</v>
      </c>
      <c r="O49" s="4">
        <f t="shared" si="1"/>
        <v>0</v>
      </c>
      <c r="P49" s="4">
        <f t="shared" si="1"/>
        <v>0</v>
      </c>
      <c r="Q49" s="4">
        <f t="shared" si="1"/>
        <v>0</v>
      </c>
      <c r="R49" s="4">
        <f t="shared" si="1"/>
        <v>0</v>
      </c>
    </row>
    <row r="50" spans="1:18" s="4" customFormat="1" ht="20.100000000000001" customHeight="1" x14ac:dyDescent="0.2">
      <c r="A50" s="21"/>
      <c r="B50" s="38"/>
      <c r="C50" s="4" t="s">
        <v>130</v>
      </c>
      <c r="D50" s="4">
        <f>D48*(1+D49*0.02)</f>
        <v>0</v>
      </c>
      <c r="E50" s="4">
        <f>E48*(1+E49*0.02)</f>
        <v>0</v>
      </c>
      <c r="F50" s="4">
        <f>F48*(1+F49*0.02)</f>
        <v>0</v>
      </c>
      <c r="G50" s="4">
        <f t="shared" ref="G50:R50" si="2">G48*(1+G49*0.02)</f>
        <v>0</v>
      </c>
      <c r="H50" s="4">
        <f t="shared" si="2"/>
        <v>0</v>
      </c>
      <c r="I50" s="4">
        <f t="shared" si="2"/>
        <v>0</v>
      </c>
      <c r="J50" s="4">
        <f t="shared" si="2"/>
        <v>0</v>
      </c>
      <c r="K50" s="4">
        <f t="shared" si="2"/>
        <v>0</v>
      </c>
      <c r="L50" s="4">
        <f t="shared" si="2"/>
        <v>0</v>
      </c>
      <c r="M50" s="4">
        <f t="shared" si="2"/>
        <v>0</v>
      </c>
      <c r="N50" s="4">
        <f t="shared" si="2"/>
        <v>0</v>
      </c>
      <c r="O50" s="4">
        <f t="shared" si="2"/>
        <v>0</v>
      </c>
      <c r="P50" s="4">
        <f t="shared" si="2"/>
        <v>0</v>
      </c>
      <c r="Q50" s="4">
        <f t="shared" si="2"/>
        <v>0</v>
      </c>
      <c r="R50" s="4">
        <f t="shared" si="2"/>
        <v>0</v>
      </c>
    </row>
    <row r="51" spans="1:18" s="7" customFormat="1" ht="20.100000000000001" customHeight="1" x14ac:dyDescent="0.2">
      <c r="A51" s="2"/>
      <c r="B51" s="8"/>
      <c r="C51" s="8"/>
    </row>
    <row r="52" spans="1:18" s="5" customFormat="1" ht="20.100000000000001" customHeight="1" x14ac:dyDescent="0.2">
      <c r="A52" s="35" t="s">
        <v>136</v>
      </c>
      <c r="B52" s="35" t="s">
        <v>20</v>
      </c>
      <c r="C52" s="5" t="s">
        <v>21</v>
      </c>
    </row>
    <row r="53" spans="1:18" s="5" customFormat="1" ht="20.100000000000001" customHeight="1" x14ac:dyDescent="0.2">
      <c r="A53" s="22"/>
      <c r="B53" s="22"/>
      <c r="C53" s="5" t="s">
        <v>7</v>
      </c>
    </row>
    <row r="54" spans="1:18" s="5" customFormat="1" ht="20.100000000000001" customHeight="1" x14ac:dyDescent="0.2">
      <c r="A54" s="22"/>
      <c r="B54" s="22"/>
      <c r="C54" s="5" t="s">
        <v>22</v>
      </c>
    </row>
    <row r="55" spans="1:18" s="5" customFormat="1" ht="20.100000000000001" customHeight="1" x14ac:dyDescent="0.2">
      <c r="A55" s="22"/>
      <c r="B55" s="23"/>
      <c r="C55" s="5" t="s">
        <v>23</v>
      </c>
    </row>
    <row r="56" spans="1:18" s="5" customFormat="1" ht="20.100000000000001" customHeight="1" x14ac:dyDescent="0.2">
      <c r="A56" s="22"/>
      <c r="B56" s="35" t="s">
        <v>30</v>
      </c>
      <c r="C56" s="5">
        <v>1</v>
      </c>
    </row>
    <row r="57" spans="1:18" s="5" customFormat="1" ht="20.100000000000001" customHeight="1" x14ac:dyDescent="0.2">
      <c r="A57" s="22"/>
      <c r="B57" s="22"/>
      <c r="C57" s="5">
        <v>2</v>
      </c>
    </row>
    <row r="58" spans="1:18" s="5" customFormat="1" ht="20.100000000000001" customHeight="1" x14ac:dyDescent="0.2">
      <c r="A58" s="22"/>
      <c r="B58" s="23"/>
      <c r="C58" s="5">
        <v>3</v>
      </c>
    </row>
    <row r="59" spans="1:18" s="2" customFormat="1" ht="20.100000000000001" customHeight="1" x14ac:dyDescent="0.2">
      <c r="A59" s="22"/>
      <c r="B59" s="9"/>
      <c r="C59" s="9"/>
      <c r="D59" s="9"/>
      <c r="E59" s="9"/>
    </row>
    <row r="60" spans="1:18" s="5" customFormat="1" ht="20.100000000000001" customHeight="1" x14ac:dyDescent="0.2">
      <c r="A60" s="22"/>
      <c r="B60" s="35" t="s">
        <v>25</v>
      </c>
      <c r="C60" s="5" t="s">
        <v>2</v>
      </c>
    </row>
    <row r="61" spans="1:18" s="5" customFormat="1" ht="20.100000000000001" customHeight="1" x14ac:dyDescent="0.2">
      <c r="A61" s="22"/>
      <c r="B61" s="22"/>
      <c r="C61" s="5" t="s">
        <v>23</v>
      </c>
    </row>
    <row r="62" spans="1:18" s="5" customFormat="1" ht="20.100000000000001" customHeight="1" x14ac:dyDescent="0.2">
      <c r="A62" s="23"/>
      <c r="B62" s="23"/>
      <c r="C62" s="5" t="s">
        <v>6</v>
      </c>
    </row>
    <row r="63" spans="1:18" s="2" customFormat="1" ht="20.100000000000001" customHeight="1" x14ac:dyDescent="0.2"/>
    <row r="64" spans="1:18" s="6" customFormat="1" ht="20.100000000000001" customHeight="1" x14ac:dyDescent="0.2">
      <c r="A64" s="30" t="s">
        <v>26</v>
      </c>
      <c r="B64" s="6" t="s">
        <v>10</v>
      </c>
      <c r="C64" s="6" t="s">
        <v>11</v>
      </c>
      <c r="F64" s="6">
        <v>1</v>
      </c>
    </row>
    <row r="65" spans="1:6" s="4" customFormat="1" ht="20.100000000000001" customHeight="1" x14ac:dyDescent="0.2">
      <c r="A65" s="31"/>
      <c r="B65" s="4" t="s">
        <v>132</v>
      </c>
      <c r="C65" s="4" t="s">
        <v>135</v>
      </c>
      <c r="F65" s="4">
        <v>1</v>
      </c>
    </row>
    <row r="66" spans="1:6" s="4" customFormat="1" ht="20.100000000000001" customHeight="1" x14ac:dyDescent="0.2">
      <c r="A66" s="31"/>
      <c r="B66" s="4" t="s">
        <v>133</v>
      </c>
      <c r="C66" s="4" t="s">
        <v>135</v>
      </c>
      <c r="F66" s="4">
        <v>0</v>
      </c>
    </row>
    <row r="67" spans="1:6" s="5" customFormat="1" ht="20.100000000000001" customHeight="1" x14ac:dyDescent="0.2">
      <c r="A67" s="32"/>
      <c r="B67" s="5" t="s">
        <v>134</v>
      </c>
      <c r="C67" s="5" t="s">
        <v>135</v>
      </c>
      <c r="F67" s="5">
        <v>0</v>
      </c>
    </row>
  </sheetData>
  <mergeCells count="17">
    <mergeCell ref="B48:B50"/>
    <mergeCell ref="A64:A67"/>
    <mergeCell ref="A7:A18"/>
    <mergeCell ref="B56:B58"/>
    <mergeCell ref="B7:B10"/>
    <mergeCell ref="B11:B13"/>
    <mergeCell ref="B15:B18"/>
    <mergeCell ref="B20:B23"/>
    <mergeCell ref="B25:B28"/>
    <mergeCell ref="A20:A50"/>
    <mergeCell ref="B44:B46"/>
    <mergeCell ref="A52:A62"/>
    <mergeCell ref="B52:B55"/>
    <mergeCell ref="B60:B62"/>
    <mergeCell ref="B30:B33"/>
    <mergeCell ref="B35:B38"/>
    <mergeCell ref="B40:B42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F473E-E8F6-46BD-8C8C-636A58FA8F6F}">
  <dimension ref="A3:AO67"/>
  <sheetViews>
    <sheetView tabSelected="1" workbookViewId="0">
      <selection activeCell="E12" sqref="E12"/>
    </sheetView>
  </sheetViews>
  <sheetFormatPr defaultColWidth="16.625" defaultRowHeight="20.100000000000001" customHeight="1" x14ac:dyDescent="0.2"/>
  <cols>
    <col min="1" max="16384" width="16.625" style="2"/>
  </cols>
  <sheetData>
    <row r="3" spans="1:41" ht="20.100000000000001" customHeight="1" x14ac:dyDescent="0.2">
      <c r="D3" s="2" t="s">
        <v>0</v>
      </c>
    </row>
    <row r="4" spans="1:41" s="1" customFormat="1" ht="20.100000000000001" customHeight="1" x14ac:dyDescent="0.2">
      <c r="D4" s="1" t="s">
        <v>242</v>
      </c>
      <c r="E4" s="1" t="s">
        <v>246</v>
      </c>
      <c r="F4" s="1" t="s">
        <v>247</v>
      </c>
      <c r="G4" s="1" t="s">
        <v>248</v>
      </c>
      <c r="H4" s="1" t="s">
        <v>252</v>
      </c>
      <c r="I4" s="1" t="s">
        <v>253</v>
      </c>
      <c r="J4" s="1" t="s">
        <v>254</v>
      </c>
      <c r="K4" s="1" t="s">
        <v>255</v>
      </c>
      <c r="L4" s="1" t="s">
        <v>256</v>
      </c>
      <c r="M4" s="1" t="s">
        <v>257</v>
      </c>
      <c r="N4" s="1" t="s">
        <v>262</v>
      </c>
      <c r="O4" s="1" t="s">
        <v>263</v>
      </c>
      <c r="P4" s="1" t="s">
        <v>268</v>
      </c>
      <c r="Q4" s="1" t="s">
        <v>269</v>
      </c>
      <c r="R4" s="1" t="s">
        <v>270</v>
      </c>
      <c r="S4" s="1" t="s">
        <v>271</v>
      </c>
      <c r="T4" s="1" t="s">
        <v>272</v>
      </c>
      <c r="U4" s="1" t="s">
        <v>243</v>
      </c>
      <c r="V4" s="1" t="s">
        <v>244</v>
      </c>
      <c r="W4" s="1" t="s">
        <v>250</v>
      </c>
      <c r="X4" s="1" t="s">
        <v>251</v>
      </c>
      <c r="Y4" s="1" t="s">
        <v>261</v>
      </c>
      <c r="Z4" s="1" t="s">
        <v>264</v>
      </c>
      <c r="AA4" s="1" t="s">
        <v>267</v>
      </c>
      <c r="AB4" s="1" t="s">
        <v>273</v>
      </c>
      <c r="AC4" s="1" t="s">
        <v>149</v>
      </c>
      <c r="AD4" s="1" t="s">
        <v>150</v>
      </c>
      <c r="AE4" s="1" t="s">
        <v>151</v>
      </c>
      <c r="AF4" s="1" t="s">
        <v>223</v>
      </c>
      <c r="AG4" s="1" t="s">
        <v>245</v>
      </c>
      <c r="AH4" s="1" t="s">
        <v>249</v>
      </c>
      <c r="AI4" s="1" t="s">
        <v>258</v>
      </c>
      <c r="AJ4" s="1" t="s">
        <v>259</v>
      </c>
      <c r="AK4" s="1" t="s">
        <v>260</v>
      </c>
      <c r="AL4" s="1" t="s">
        <v>265</v>
      </c>
      <c r="AM4" s="1" t="s">
        <v>266</v>
      </c>
      <c r="AN4" s="1" t="s">
        <v>220</v>
      </c>
      <c r="AO4" s="1" t="s">
        <v>221</v>
      </c>
    </row>
    <row r="5" spans="1:41" s="1" customFormat="1" ht="20.100000000000001" customHeight="1" x14ac:dyDescent="0.2">
      <c r="C5" s="1" t="s">
        <v>124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2</v>
      </c>
      <c r="V5" s="1">
        <v>2</v>
      </c>
      <c r="W5" s="1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3</v>
      </c>
      <c r="AD5" s="1">
        <v>3</v>
      </c>
      <c r="AE5" s="1">
        <v>3</v>
      </c>
      <c r="AF5" s="1">
        <v>3</v>
      </c>
      <c r="AG5" s="1">
        <v>3</v>
      </c>
      <c r="AH5" s="1">
        <v>3</v>
      </c>
      <c r="AI5" s="1">
        <v>3</v>
      </c>
      <c r="AJ5" s="1">
        <v>3</v>
      </c>
      <c r="AK5" s="1">
        <v>3</v>
      </c>
      <c r="AL5" s="1">
        <v>3</v>
      </c>
      <c r="AM5" s="1">
        <v>3</v>
      </c>
      <c r="AN5" s="1">
        <v>4</v>
      </c>
      <c r="AO5" s="1">
        <v>4</v>
      </c>
    </row>
    <row r="6" spans="1:41" s="1" customFormat="1" ht="20.100000000000001" customHeight="1" x14ac:dyDescent="0.2">
      <c r="C6" s="1" t="s">
        <v>125</v>
      </c>
      <c r="AC6" s="1">
        <v>2</v>
      </c>
      <c r="AD6" s="1">
        <v>3</v>
      </c>
      <c r="AE6" s="1">
        <v>3</v>
      </c>
      <c r="AF6" s="1">
        <v>5</v>
      </c>
      <c r="AN6" s="1">
        <v>4</v>
      </c>
      <c r="AO6" s="1" t="s">
        <v>222</v>
      </c>
    </row>
    <row r="7" spans="1:41" s="3" customFormat="1" ht="20.100000000000001" customHeight="1" x14ac:dyDescent="0.2">
      <c r="A7" s="20" t="s">
        <v>137</v>
      </c>
      <c r="B7" s="18" t="s">
        <v>24</v>
      </c>
      <c r="C7" s="3" t="s">
        <v>6</v>
      </c>
    </row>
    <row r="8" spans="1:41" s="3" customFormat="1" ht="20.100000000000001" customHeight="1" x14ac:dyDescent="0.2">
      <c r="A8" s="20"/>
      <c r="B8" s="18"/>
      <c r="C8" s="3" t="s">
        <v>7</v>
      </c>
    </row>
    <row r="9" spans="1:41" s="3" customFormat="1" ht="20.100000000000001" customHeight="1" x14ac:dyDescent="0.2">
      <c r="A9" s="20"/>
      <c r="B9" s="18"/>
      <c r="C9" s="3" t="s">
        <v>8</v>
      </c>
    </row>
    <row r="10" spans="1:41" s="3" customFormat="1" ht="20.100000000000001" customHeight="1" x14ac:dyDescent="0.2">
      <c r="A10" s="20"/>
      <c r="B10" s="18"/>
      <c r="C10" s="3" t="s">
        <v>9</v>
      </c>
    </row>
    <row r="11" spans="1:41" s="3" customFormat="1" ht="20.100000000000001" customHeight="1" x14ac:dyDescent="0.2">
      <c r="A11" s="20"/>
      <c r="B11" s="18" t="s">
        <v>30</v>
      </c>
      <c r="C11" s="3">
        <v>1</v>
      </c>
    </row>
    <row r="12" spans="1:41" s="3" customFormat="1" ht="20.100000000000001" customHeight="1" x14ac:dyDescent="0.2">
      <c r="A12" s="20"/>
      <c r="B12" s="18"/>
      <c r="C12" s="3">
        <v>2</v>
      </c>
    </row>
    <row r="13" spans="1:41" s="3" customFormat="1" ht="20.100000000000001" customHeight="1" x14ac:dyDescent="0.2">
      <c r="A13" s="20"/>
      <c r="B13" s="18"/>
      <c r="C13" s="3">
        <v>3</v>
      </c>
    </row>
    <row r="14" spans="1:41" ht="20.100000000000001" customHeight="1" x14ac:dyDescent="0.2">
      <c r="A14" s="20"/>
    </row>
    <row r="15" spans="1:41" s="3" customFormat="1" ht="20.100000000000001" customHeight="1" x14ac:dyDescent="0.2">
      <c r="A15" s="20"/>
      <c r="B15" s="24" t="s">
        <v>1</v>
      </c>
      <c r="C15" s="3" t="s">
        <v>2</v>
      </c>
    </row>
    <row r="16" spans="1:41" s="3" customFormat="1" ht="20.100000000000001" customHeight="1" x14ac:dyDescent="0.2">
      <c r="A16" s="20"/>
      <c r="B16" s="25"/>
      <c r="C16" s="3" t="s">
        <v>3</v>
      </c>
    </row>
    <row r="17" spans="1:5" s="3" customFormat="1" ht="20.100000000000001" customHeight="1" x14ac:dyDescent="0.2">
      <c r="A17" s="20"/>
      <c r="B17" s="25"/>
      <c r="C17" s="3" t="s">
        <v>4</v>
      </c>
    </row>
    <row r="18" spans="1:5" s="3" customFormat="1" ht="20.100000000000001" customHeight="1" x14ac:dyDescent="0.2">
      <c r="A18" s="20"/>
      <c r="B18" s="26"/>
      <c r="C18" s="3" t="s">
        <v>5</v>
      </c>
    </row>
    <row r="19" spans="1:5" ht="20.100000000000001" customHeight="1" x14ac:dyDescent="0.2">
      <c r="B19" s="10"/>
      <c r="C19" s="10"/>
      <c r="D19" s="10"/>
      <c r="E19" s="10"/>
    </row>
    <row r="20" spans="1:5" s="4" customFormat="1" ht="20.100000000000001" customHeight="1" x14ac:dyDescent="0.2">
      <c r="A20" s="21" t="s">
        <v>131</v>
      </c>
      <c r="B20" s="39" t="s">
        <v>12</v>
      </c>
      <c r="C20" s="4" t="s">
        <v>13</v>
      </c>
    </row>
    <row r="21" spans="1:5" s="4" customFormat="1" ht="20.100000000000001" customHeight="1" x14ac:dyDescent="0.2">
      <c r="A21" s="21"/>
      <c r="B21" s="39"/>
      <c r="C21" s="4" t="s">
        <v>7</v>
      </c>
    </row>
    <row r="22" spans="1:5" s="4" customFormat="1" ht="20.100000000000001" customHeight="1" x14ac:dyDescent="0.2">
      <c r="A22" s="21"/>
      <c r="B22" s="39"/>
      <c r="C22" s="4" t="s">
        <v>14</v>
      </c>
    </row>
    <row r="23" spans="1:5" s="4" customFormat="1" ht="20.100000000000001" customHeight="1" x14ac:dyDescent="0.2">
      <c r="A23" s="21"/>
      <c r="B23" s="39"/>
      <c r="C23" s="4" t="s">
        <v>15</v>
      </c>
    </row>
    <row r="24" spans="1:5" ht="20.100000000000001" customHeight="1" x14ac:dyDescent="0.2">
      <c r="A24" s="21"/>
      <c r="B24" s="12"/>
      <c r="C24" s="10"/>
      <c r="D24" s="10"/>
      <c r="E24" s="10"/>
    </row>
    <row r="25" spans="1:5" s="4" customFormat="1" ht="20.100000000000001" customHeight="1" x14ac:dyDescent="0.2">
      <c r="A25" s="21"/>
      <c r="B25" s="39" t="s">
        <v>16</v>
      </c>
      <c r="C25" s="4" t="s">
        <v>13</v>
      </c>
    </row>
    <row r="26" spans="1:5" s="4" customFormat="1" ht="20.100000000000001" customHeight="1" x14ac:dyDescent="0.2">
      <c r="A26" s="21"/>
      <c r="B26" s="39"/>
      <c r="C26" s="4" t="s">
        <v>7</v>
      </c>
    </row>
    <row r="27" spans="1:5" s="4" customFormat="1" ht="20.100000000000001" customHeight="1" x14ac:dyDescent="0.2">
      <c r="A27" s="21"/>
      <c r="B27" s="39"/>
      <c r="C27" s="4" t="s">
        <v>14</v>
      </c>
    </row>
    <row r="28" spans="1:5" s="4" customFormat="1" ht="20.100000000000001" customHeight="1" x14ac:dyDescent="0.2">
      <c r="A28" s="21"/>
      <c r="B28" s="39"/>
      <c r="C28" s="4" t="s">
        <v>15</v>
      </c>
    </row>
    <row r="29" spans="1:5" ht="20.100000000000001" customHeight="1" x14ac:dyDescent="0.2">
      <c r="A29" s="21"/>
      <c r="B29" s="13"/>
      <c r="C29" s="9"/>
      <c r="D29" s="9"/>
      <c r="E29" s="9"/>
    </row>
    <row r="30" spans="1:5" s="4" customFormat="1" ht="20.100000000000001" customHeight="1" x14ac:dyDescent="0.2">
      <c r="A30" s="21"/>
      <c r="B30" s="36" t="s">
        <v>17</v>
      </c>
      <c r="C30" s="4" t="s">
        <v>13</v>
      </c>
    </row>
    <row r="31" spans="1:5" s="4" customFormat="1" ht="20.100000000000001" customHeight="1" x14ac:dyDescent="0.2">
      <c r="A31" s="21"/>
      <c r="B31" s="37"/>
      <c r="C31" s="4" t="s">
        <v>7</v>
      </c>
    </row>
    <row r="32" spans="1:5" s="4" customFormat="1" ht="20.100000000000001" customHeight="1" x14ac:dyDescent="0.2">
      <c r="A32" s="21"/>
      <c r="B32" s="37"/>
      <c r="C32" s="4" t="s">
        <v>14</v>
      </c>
    </row>
    <row r="33" spans="1:17" s="4" customFormat="1" ht="20.100000000000001" customHeight="1" x14ac:dyDescent="0.2">
      <c r="A33" s="21"/>
      <c r="B33" s="38"/>
      <c r="C33" s="4" t="s">
        <v>15</v>
      </c>
    </row>
    <row r="34" spans="1:17" ht="20.100000000000001" customHeight="1" x14ac:dyDescent="0.2">
      <c r="A34" s="21"/>
      <c r="B34" s="14"/>
      <c r="C34" s="1"/>
      <c r="D34" s="1"/>
      <c r="E34" s="1"/>
    </row>
    <row r="35" spans="1:17" s="4" customFormat="1" ht="20.100000000000001" customHeight="1" x14ac:dyDescent="0.2">
      <c r="A35" s="21"/>
      <c r="B35" s="36" t="s">
        <v>18</v>
      </c>
      <c r="C35" s="4" t="s">
        <v>13</v>
      </c>
    </row>
    <row r="36" spans="1:17" s="4" customFormat="1" ht="20.100000000000001" customHeight="1" x14ac:dyDescent="0.2">
      <c r="A36" s="21"/>
      <c r="B36" s="37"/>
      <c r="C36" s="4" t="s">
        <v>7</v>
      </c>
    </row>
    <row r="37" spans="1:17" s="4" customFormat="1" ht="20.100000000000001" customHeight="1" x14ac:dyDescent="0.2">
      <c r="A37" s="21"/>
      <c r="B37" s="37"/>
      <c r="C37" s="4" t="s">
        <v>14</v>
      </c>
    </row>
    <row r="38" spans="1:17" s="4" customFormat="1" ht="20.100000000000001" customHeight="1" x14ac:dyDescent="0.2">
      <c r="A38" s="21"/>
      <c r="B38" s="38"/>
      <c r="C38" s="4" t="s">
        <v>15</v>
      </c>
    </row>
    <row r="39" spans="1:17" ht="20.100000000000001" customHeight="1" x14ac:dyDescent="0.2">
      <c r="A39" s="21"/>
      <c r="B39" s="14"/>
      <c r="C39" s="1"/>
      <c r="D39" s="1"/>
      <c r="E39" s="1"/>
    </row>
    <row r="40" spans="1:17" s="4" customFormat="1" ht="20.100000000000001" customHeight="1" x14ac:dyDescent="0.2">
      <c r="A40" s="21"/>
      <c r="B40" s="36" t="s">
        <v>19</v>
      </c>
      <c r="C40" s="4" t="s">
        <v>7</v>
      </c>
    </row>
    <row r="41" spans="1:17" s="4" customFormat="1" ht="20.100000000000001" customHeight="1" x14ac:dyDescent="0.2">
      <c r="A41" s="21"/>
      <c r="B41" s="37"/>
      <c r="C41" s="4" t="s">
        <v>14</v>
      </c>
    </row>
    <row r="42" spans="1:17" s="4" customFormat="1" ht="20.100000000000001" customHeight="1" x14ac:dyDescent="0.2">
      <c r="A42" s="21"/>
      <c r="B42" s="38"/>
      <c r="C42" s="4" t="s">
        <v>15</v>
      </c>
    </row>
    <row r="43" spans="1:17" ht="20.100000000000001" customHeight="1" x14ac:dyDescent="0.2">
      <c r="A43" s="21"/>
      <c r="D43" s="7"/>
      <c r="E43" s="7"/>
    </row>
    <row r="44" spans="1:17" s="4" customFormat="1" ht="20.100000000000001" customHeight="1" x14ac:dyDescent="0.2">
      <c r="A44" s="21"/>
      <c r="B44" s="36" t="s">
        <v>30</v>
      </c>
      <c r="C44" s="4">
        <v>1</v>
      </c>
    </row>
    <row r="45" spans="1:17" s="4" customFormat="1" ht="20.100000000000001" customHeight="1" x14ac:dyDescent="0.2">
      <c r="A45" s="21"/>
      <c r="B45" s="37"/>
      <c r="C45" s="4">
        <v>2</v>
      </c>
    </row>
    <row r="46" spans="1:17" s="4" customFormat="1" ht="20.100000000000001" customHeight="1" x14ac:dyDescent="0.2">
      <c r="A46" s="21"/>
      <c r="B46" s="38"/>
      <c r="C46" s="4">
        <v>3</v>
      </c>
    </row>
    <row r="47" spans="1:17" ht="20.100000000000001" customHeight="1" x14ac:dyDescent="0.2">
      <c r="A47" s="21"/>
      <c r="B47" s="15"/>
      <c r="C47" s="7"/>
      <c r="D47" s="8"/>
      <c r="E47" s="8"/>
    </row>
    <row r="48" spans="1:17" s="4" customFormat="1" ht="20.100000000000001" customHeight="1" x14ac:dyDescent="0.2">
      <c r="A48" s="21"/>
      <c r="B48" s="36" t="s">
        <v>28</v>
      </c>
      <c r="C48" s="4" t="s">
        <v>29</v>
      </c>
      <c r="D48" s="4">
        <f t="shared" ref="D48:Q48" si="0">D20+D25+D30+D35</f>
        <v>0</v>
      </c>
      <c r="E48" s="4">
        <f t="shared" si="0"/>
        <v>0</v>
      </c>
      <c r="F48" s="4">
        <f t="shared" si="0"/>
        <v>0</v>
      </c>
      <c r="G48" s="4">
        <f t="shared" si="0"/>
        <v>0</v>
      </c>
      <c r="H48" s="4">
        <f t="shared" si="0"/>
        <v>0</v>
      </c>
      <c r="I48" s="4">
        <f t="shared" si="0"/>
        <v>0</v>
      </c>
      <c r="J48" s="4">
        <f t="shared" si="0"/>
        <v>0</v>
      </c>
      <c r="K48" s="4">
        <f t="shared" si="0"/>
        <v>0</v>
      </c>
      <c r="L48" s="4">
        <f t="shared" si="0"/>
        <v>0</v>
      </c>
      <c r="M48" s="4">
        <f t="shared" si="0"/>
        <v>0</v>
      </c>
      <c r="N48" s="4">
        <f t="shared" si="0"/>
        <v>0</v>
      </c>
      <c r="O48" s="4">
        <f t="shared" si="0"/>
        <v>0</v>
      </c>
      <c r="P48" s="4">
        <f t="shared" si="0"/>
        <v>0</v>
      </c>
      <c r="Q48" s="4">
        <f t="shared" si="0"/>
        <v>0</v>
      </c>
    </row>
    <row r="49" spans="1:17" s="4" customFormat="1" ht="20.100000000000001" customHeight="1" x14ac:dyDescent="0.2">
      <c r="A49" s="21"/>
      <c r="B49" s="37"/>
      <c r="C49" s="4" t="s">
        <v>129</v>
      </c>
      <c r="D49" s="4">
        <f t="shared" ref="D49:Q49" si="1">D22+D27+D32+D37+D41</f>
        <v>0</v>
      </c>
      <c r="E49" s="4">
        <f t="shared" si="1"/>
        <v>0</v>
      </c>
      <c r="F49" s="4">
        <f t="shared" si="1"/>
        <v>0</v>
      </c>
      <c r="G49" s="4">
        <f t="shared" si="1"/>
        <v>0</v>
      </c>
      <c r="H49" s="4">
        <f t="shared" si="1"/>
        <v>0</v>
      </c>
      <c r="I49" s="4">
        <f t="shared" si="1"/>
        <v>0</v>
      </c>
      <c r="J49" s="4">
        <f t="shared" si="1"/>
        <v>0</v>
      </c>
      <c r="K49" s="4">
        <f t="shared" si="1"/>
        <v>0</v>
      </c>
      <c r="L49" s="4">
        <f t="shared" si="1"/>
        <v>0</v>
      </c>
      <c r="M49" s="4">
        <f t="shared" si="1"/>
        <v>0</v>
      </c>
      <c r="N49" s="4">
        <f t="shared" si="1"/>
        <v>0</v>
      </c>
      <c r="O49" s="4">
        <f t="shared" si="1"/>
        <v>0</v>
      </c>
      <c r="P49" s="4">
        <f t="shared" si="1"/>
        <v>0</v>
      </c>
      <c r="Q49" s="4">
        <f t="shared" si="1"/>
        <v>0</v>
      </c>
    </row>
    <row r="50" spans="1:17" s="4" customFormat="1" ht="20.100000000000001" customHeight="1" x14ac:dyDescent="0.2">
      <c r="A50" s="21"/>
      <c r="B50" s="38"/>
      <c r="C50" s="4" t="s">
        <v>130</v>
      </c>
      <c r="D50" s="4">
        <f>D48*(1+D49*0.02)</f>
        <v>0</v>
      </c>
      <c r="E50" s="4">
        <f>E48*(1+E49*0.02)</f>
        <v>0</v>
      </c>
      <c r="F50" s="4">
        <f t="shared" ref="F50:Q50" si="2">F48*(1+F49*0.02)</f>
        <v>0</v>
      </c>
      <c r="G50" s="4">
        <f t="shared" si="2"/>
        <v>0</v>
      </c>
      <c r="H50" s="4">
        <f t="shared" si="2"/>
        <v>0</v>
      </c>
      <c r="I50" s="4">
        <f t="shared" si="2"/>
        <v>0</v>
      </c>
      <c r="J50" s="4">
        <f t="shared" si="2"/>
        <v>0</v>
      </c>
      <c r="K50" s="4">
        <f t="shared" si="2"/>
        <v>0</v>
      </c>
      <c r="L50" s="4">
        <f t="shared" si="2"/>
        <v>0</v>
      </c>
      <c r="M50" s="4">
        <f t="shared" si="2"/>
        <v>0</v>
      </c>
      <c r="N50" s="4">
        <f t="shared" si="2"/>
        <v>0</v>
      </c>
      <c r="O50" s="4">
        <f t="shared" si="2"/>
        <v>0</v>
      </c>
      <c r="P50" s="4">
        <f t="shared" si="2"/>
        <v>0</v>
      </c>
      <c r="Q50" s="4">
        <f t="shared" si="2"/>
        <v>0</v>
      </c>
    </row>
    <row r="51" spans="1:17" s="7" customFormat="1" ht="20.100000000000001" customHeight="1" x14ac:dyDescent="0.2">
      <c r="A51" s="2"/>
      <c r="B51" s="8"/>
      <c r="C51" s="8"/>
    </row>
    <row r="52" spans="1:17" s="5" customFormat="1" ht="20.100000000000001" customHeight="1" x14ac:dyDescent="0.2">
      <c r="A52" s="35" t="s">
        <v>136</v>
      </c>
      <c r="B52" s="35" t="s">
        <v>20</v>
      </c>
      <c r="C52" s="5" t="s">
        <v>21</v>
      </c>
    </row>
    <row r="53" spans="1:17" s="5" customFormat="1" ht="20.100000000000001" customHeight="1" x14ac:dyDescent="0.2">
      <c r="A53" s="22"/>
      <c r="B53" s="22"/>
      <c r="C53" s="5" t="s">
        <v>7</v>
      </c>
    </row>
    <row r="54" spans="1:17" s="5" customFormat="1" ht="20.100000000000001" customHeight="1" x14ac:dyDescent="0.2">
      <c r="A54" s="22"/>
      <c r="B54" s="22"/>
      <c r="C54" s="5" t="s">
        <v>22</v>
      </c>
    </row>
    <row r="55" spans="1:17" s="5" customFormat="1" ht="20.100000000000001" customHeight="1" x14ac:dyDescent="0.2">
      <c r="A55" s="22"/>
      <c r="B55" s="23"/>
      <c r="C55" s="5" t="s">
        <v>23</v>
      </c>
    </row>
    <row r="56" spans="1:17" s="5" customFormat="1" ht="20.100000000000001" customHeight="1" x14ac:dyDescent="0.2">
      <c r="A56" s="22"/>
      <c r="B56" s="35" t="s">
        <v>30</v>
      </c>
      <c r="C56" s="5">
        <v>1</v>
      </c>
    </row>
    <row r="57" spans="1:17" s="5" customFormat="1" ht="20.100000000000001" customHeight="1" x14ac:dyDescent="0.2">
      <c r="A57" s="22"/>
      <c r="B57" s="22"/>
      <c r="C57" s="5">
        <v>2</v>
      </c>
    </row>
    <row r="58" spans="1:17" s="5" customFormat="1" ht="20.100000000000001" customHeight="1" x14ac:dyDescent="0.2">
      <c r="A58" s="22"/>
      <c r="B58" s="23"/>
      <c r="C58" s="5">
        <v>3</v>
      </c>
    </row>
    <row r="59" spans="1:17" ht="20.100000000000001" customHeight="1" x14ac:dyDescent="0.2">
      <c r="A59" s="22"/>
      <c r="B59" s="9"/>
      <c r="C59" s="9"/>
      <c r="D59" s="9"/>
      <c r="E59" s="9"/>
    </row>
    <row r="60" spans="1:17" s="5" customFormat="1" ht="20.100000000000001" customHeight="1" x14ac:dyDescent="0.2">
      <c r="A60" s="22"/>
      <c r="B60" s="35" t="s">
        <v>25</v>
      </c>
      <c r="C60" s="5" t="s">
        <v>2</v>
      </c>
    </row>
    <row r="61" spans="1:17" s="5" customFormat="1" ht="20.100000000000001" customHeight="1" x14ac:dyDescent="0.2">
      <c r="A61" s="22"/>
      <c r="B61" s="22"/>
      <c r="C61" s="5" t="s">
        <v>23</v>
      </c>
    </row>
    <row r="62" spans="1:17" s="5" customFormat="1" ht="20.100000000000001" customHeight="1" x14ac:dyDescent="0.2">
      <c r="A62" s="23"/>
      <c r="B62" s="23"/>
      <c r="C62" s="5" t="s">
        <v>6</v>
      </c>
    </row>
    <row r="64" spans="1:17" s="6" customFormat="1" ht="20.100000000000001" customHeight="1" x14ac:dyDescent="0.2">
      <c r="A64" s="30" t="s">
        <v>26</v>
      </c>
      <c r="B64" s="6" t="s">
        <v>10</v>
      </c>
      <c r="C64" s="6" t="s">
        <v>11</v>
      </c>
    </row>
    <row r="65" spans="1:3" s="4" customFormat="1" ht="20.100000000000001" customHeight="1" x14ac:dyDescent="0.2">
      <c r="A65" s="31"/>
      <c r="B65" s="4" t="s">
        <v>132</v>
      </c>
      <c r="C65" s="4" t="s">
        <v>135</v>
      </c>
    </row>
    <row r="66" spans="1:3" s="4" customFormat="1" ht="20.100000000000001" customHeight="1" x14ac:dyDescent="0.2">
      <c r="A66" s="31"/>
      <c r="B66" s="4" t="s">
        <v>133</v>
      </c>
      <c r="C66" s="4" t="s">
        <v>135</v>
      </c>
    </row>
    <row r="67" spans="1:3" s="5" customFormat="1" ht="20.100000000000001" customHeight="1" x14ac:dyDescent="0.2">
      <c r="A67" s="32"/>
      <c r="B67" s="5" t="s">
        <v>134</v>
      </c>
      <c r="C67" s="5" t="s">
        <v>135</v>
      </c>
    </row>
  </sheetData>
  <sortState xmlns:xlrd2="http://schemas.microsoft.com/office/spreadsheetml/2017/richdata2" columnSort="1" ref="C4:AO6">
    <sortCondition ref="C5:AO5"/>
    <sortCondition ref="C6:AO6"/>
  </sortState>
  <mergeCells count="17">
    <mergeCell ref="A7:A18"/>
    <mergeCell ref="B7:B10"/>
    <mergeCell ref="B11:B13"/>
    <mergeCell ref="B15:B18"/>
    <mergeCell ref="A20:A50"/>
    <mergeCell ref="B20:B23"/>
    <mergeCell ref="B25:B28"/>
    <mergeCell ref="B30:B33"/>
    <mergeCell ref="B35:B38"/>
    <mergeCell ref="B40:B42"/>
    <mergeCell ref="A64:A67"/>
    <mergeCell ref="B44:B46"/>
    <mergeCell ref="B48:B50"/>
    <mergeCell ref="A52:A62"/>
    <mergeCell ref="B52:B55"/>
    <mergeCell ref="B56:B58"/>
    <mergeCell ref="B60:B6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阶段1</vt:lpstr>
      <vt:lpstr>阶段2</vt:lpstr>
      <vt:lpstr>阶段3</vt:lpstr>
      <vt:lpstr>阶段4</vt:lpstr>
      <vt:lpstr>阶段5</vt:lpstr>
      <vt:lpstr>阶段EX</vt:lpstr>
      <vt:lpstr>追加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2015-06-05T18:19:34Z</dcterms:created>
  <dcterms:modified xsi:type="dcterms:W3CDTF">2025-06-04T20:01:33Z</dcterms:modified>
</cp:coreProperties>
</file>