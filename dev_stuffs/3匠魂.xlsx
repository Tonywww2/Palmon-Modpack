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39B99E0B-9F2B-4B3D-B387-6F12821B5B8E}" xr6:coauthVersionLast="47" xr6:coauthVersionMax="47" xr10:uidLastSave="{00000000-0000-0000-0000-000000000000}"/>
  <bookViews>
    <workbookView xWindow="30612" yWindow="-6720" windowWidth="30936" windowHeight="18816" activeTab="5" xr2:uid="{00000000-000D-0000-FFFF-FFFF00000000}"/>
  </bookViews>
  <sheets>
    <sheet name="阶段1" sheetId="1" r:id="rId1"/>
    <sheet name="阶段2" sheetId="2" r:id="rId2"/>
    <sheet name="阶段3" sheetId="8" r:id="rId3"/>
    <sheet name="阶段3追加" sheetId="12" r:id="rId4"/>
    <sheet name="阶段4" sheetId="9" r:id="rId5"/>
    <sheet name="阶段5" sheetId="10" r:id="rId6"/>
    <sheet name="阶段EX" sheetId="11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9" i="11" l="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R49" i="9"/>
  <c r="Q49" i="9"/>
  <c r="P49" i="9"/>
  <c r="O49" i="9"/>
  <c r="N49" i="9"/>
  <c r="M49" i="9"/>
  <c r="L49" i="9"/>
  <c r="K49" i="9"/>
  <c r="J49" i="9"/>
  <c r="I49" i="9"/>
  <c r="H49" i="9"/>
  <c r="G49" i="9"/>
  <c r="E49" i="9"/>
  <c r="D49" i="9"/>
  <c r="R48" i="9"/>
  <c r="Q48" i="9"/>
  <c r="P48" i="9"/>
  <c r="O48" i="9"/>
  <c r="N48" i="9"/>
  <c r="M48" i="9"/>
  <c r="L48" i="9"/>
  <c r="K48" i="9"/>
  <c r="J48" i="9"/>
  <c r="J50" i="9" s="1"/>
  <c r="I48" i="9"/>
  <c r="I50" i="9" s="1"/>
  <c r="H48" i="9"/>
  <c r="H50" i="9" s="1"/>
  <c r="G48" i="9"/>
  <c r="G50" i="9" s="1"/>
  <c r="E48" i="9"/>
  <c r="E50" i="9" s="1"/>
  <c r="D48" i="9"/>
  <c r="D50" i="9" s="1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P48" i="8"/>
  <c r="O48" i="8"/>
  <c r="N48" i="8"/>
  <c r="M48" i="8"/>
  <c r="L48" i="8"/>
  <c r="L50" i="8" s="1"/>
  <c r="K48" i="8"/>
  <c r="K50" i="8" s="1"/>
  <c r="J48" i="8"/>
  <c r="J50" i="8" s="1"/>
  <c r="I48" i="8"/>
  <c r="I50" i="8" s="1"/>
  <c r="H48" i="8"/>
  <c r="H50" i="8" s="1"/>
  <c r="G48" i="8"/>
  <c r="G50" i="8" s="1"/>
  <c r="F48" i="8"/>
  <c r="F50" i="8" s="1"/>
  <c r="E48" i="8"/>
  <c r="E50" i="8" s="1"/>
  <c r="D48" i="8"/>
  <c r="D50" i="8" s="1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M50" i="8" l="1"/>
  <c r="N50" i="8"/>
  <c r="O50" i="8"/>
  <c r="P50" i="8"/>
  <c r="N50" i="9"/>
  <c r="P50" i="9"/>
  <c r="K50" i="9"/>
  <c r="R50" i="9"/>
  <c r="M50" i="9"/>
  <c r="Q50" i="9"/>
  <c r="L50" i="9"/>
  <c r="O50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<sst xmlns="http://schemas.openxmlformats.org/spreadsheetml/2006/main" count="697" uniqueCount="181">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</sst>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4" borderId="5" xfId="3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19" t="s">
        <v>137</v>
      </c>
      <c r="B9" s="17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19"/>
      <c r="B10" s="17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19"/>
      <c r="B11" s="17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19"/>
      <c r="B12" s="17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19"/>
      <c r="B13" s="17" t="s">
        <v>30</v>
      </c>
      <c r="C13" s="3">
        <v>1</v>
      </c>
    </row>
    <row r="14" spans="1:13" s="3" customFormat="1" ht="20.100000000000001" customHeight="1" x14ac:dyDescent="0.2">
      <c r="A14" s="19"/>
      <c r="B14" s="17"/>
      <c r="C14" s="3">
        <v>2</v>
      </c>
    </row>
    <row r="15" spans="1:13" s="3" customFormat="1" ht="20.100000000000001" customHeight="1" x14ac:dyDescent="0.2">
      <c r="A15" s="19"/>
      <c r="B15" s="17"/>
      <c r="C15" s="3">
        <v>3</v>
      </c>
    </row>
    <row r="16" spans="1:13" ht="20.100000000000001" customHeight="1" x14ac:dyDescent="0.2">
      <c r="A16" s="19"/>
    </row>
    <row r="17" spans="1:13" s="3" customFormat="1" ht="20.100000000000001" customHeight="1" x14ac:dyDescent="0.2">
      <c r="A17" s="19"/>
      <c r="B17" s="23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19"/>
      <c r="B18" s="24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19"/>
      <c r="B19" s="24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19"/>
      <c r="B20" s="25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32" t="s">
        <v>131</v>
      </c>
      <c r="B22" s="20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33"/>
      <c r="B23" s="20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33"/>
      <c r="B24" s="20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33"/>
      <c r="B25" s="20"/>
      <c r="C25" s="4" t="s">
        <v>15</v>
      </c>
    </row>
    <row r="26" spans="1:13" ht="20.100000000000001" customHeight="1" x14ac:dyDescent="0.2">
      <c r="A26" s="33"/>
      <c r="B26" s="10"/>
      <c r="C26" s="10"/>
      <c r="D26" s="10"/>
      <c r="E26" s="10"/>
    </row>
    <row r="27" spans="1:13" s="4" customFormat="1" ht="20.100000000000001" customHeight="1" x14ac:dyDescent="0.2">
      <c r="A27" s="33"/>
      <c r="B27" s="20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33"/>
      <c r="B28" s="20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33"/>
      <c r="B29" s="20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33"/>
      <c r="B30" s="20"/>
      <c r="C30" s="4" t="s">
        <v>15</v>
      </c>
    </row>
    <row r="31" spans="1:13" ht="20.100000000000001" customHeight="1" x14ac:dyDescent="0.2">
      <c r="A31" s="33"/>
      <c r="B31" s="9"/>
      <c r="C31" s="9"/>
      <c r="D31" s="9"/>
      <c r="E31" s="9"/>
    </row>
    <row r="32" spans="1:13" s="4" customFormat="1" ht="20.100000000000001" customHeight="1" x14ac:dyDescent="0.2">
      <c r="A32" s="33"/>
      <c r="B32" s="26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33"/>
      <c r="B33" s="27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33"/>
      <c r="B34" s="27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33"/>
      <c r="B35" s="28"/>
      <c r="C35" s="4" t="s">
        <v>15</v>
      </c>
    </row>
    <row r="36" spans="1:13" ht="20.100000000000001" customHeight="1" x14ac:dyDescent="0.2">
      <c r="A36" s="33"/>
      <c r="B36" s="1"/>
      <c r="C36" s="1"/>
      <c r="D36" s="1"/>
      <c r="E36" s="1"/>
    </row>
    <row r="37" spans="1:13" s="4" customFormat="1" ht="20.100000000000001" customHeight="1" x14ac:dyDescent="0.2">
      <c r="A37" s="33"/>
      <c r="B37" s="26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33"/>
      <c r="B38" s="27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33"/>
      <c r="B39" s="27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33"/>
      <c r="B40" s="28"/>
      <c r="C40" s="4" t="s">
        <v>15</v>
      </c>
    </row>
    <row r="41" spans="1:13" ht="20.100000000000001" customHeight="1" x14ac:dyDescent="0.2">
      <c r="A41" s="33"/>
      <c r="B41" s="1"/>
      <c r="C41" s="1"/>
      <c r="D41" s="1"/>
      <c r="E41" s="1"/>
    </row>
    <row r="42" spans="1:13" s="4" customFormat="1" ht="20.100000000000001" customHeight="1" x14ac:dyDescent="0.2">
      <c r="A42" s="33"/>
      <c r="B42" s="26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33"/>
      <c r="B43" s="27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33"/>
      <c r="B44" s="28"/>
      <c r="C44" s="4" t="s">
        <v>15</v>
      </c>
    </row>
    <row r="45" spans="1:13" ht="20.100000000000001" customHeight="1" x14ac:dyDescent="0.2">
      <c r="A45" s="33"/>
    </row>
    <row r="46" spans="1:13" s="4" customFormat="1" ht="20.100000000000001" customHeight="1" x14ac:dyDescent="0.2">
      <c r="A46" s="33"/>
      <c r="B46" s="26" t="s">
        <v>30</v>
      </c>
      <c r="C46" s="4">
        <v>1</v>
      </c>
    </row>
    <row r="47" spans="1:13" s="4" customFormat="1" ht="20.100000000000001" customHeight="1" x14ac:dyDescent="0.2">
      <c r="A47" s="33"/>
      <c r="B47" s="27"/>
      <c r="C47" s="4">
        <v>2</v>
      </c>
    </row>
    <row r="48" spans="1:13" s="4" customFormat="1" ht="20.100000000000001" customHeight="1" x14ac:dyDescent="0.2">
      <c r="A48" s="33"/>
      <c r="B48" s="28"/>
      <c r="C48" s="4">
        <v>3</v>
      </c>
    </row>
    <row r="49" spans="1:13" ht="20.100000000000001" customHeight="1" x14ac:dyDescent="0.2">
      <c r="A49" s="33"/>
      <c r="B49" s="7"/>
      <c r="C49" s="7"/>
      <c r="D49" s="7"/>
      <c r="E49" s="7"/>
    </row>
    <row r="50" spans="1:13" s="4" customFormat="1" ht="20.100000000000001" customHeight="1" x14ac:dyDescent="0.2">
      <c r="A50" s="33"/>
      <c r="B50" s="26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33"/>
      <c r="B51" s="27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33"/>
      <c r="B52" s="28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18" t="s">
        <v>136</v>
      </c>
      <c r="B54" s="18" t="s">
        <v>20</v>
      </c>
      <c r="C54" s="5" t="s">
        <v>21</v>
      </c>
    </row>
    <row r="55" spans="1:13" s="5" customFormat="1" ht="20.100000000000001" customHeight="1" x14ac:dyDescent="0.2">
      <c r="A55" s="18"/>
      <c r="B55" s="18"/>
      <c r="C55" s="5" t="s">
        <v>7</v>
      </c>
    </row>
    <row r="56" spans="1:13" s="5" customFormat="1" ht="20.100000000000001" customHeight="1" x14ac:dyDescent="0.2">
      <c r="A56" s="18"/>
      <c r="B56" s="18"/>
      <c r="C56" s="5" t="s">
        <v>22</v>
      </c>
    </row>
    <row r="57" spans="1:13" s="5" customFormat="1" ht="20.100000000000001" customHeight="1" x14ac:dyDescent="0.2">
      <c r="A57" s="18"/>
      <c r="B57" s="18"/>
      <c r="C57" s="5" t="s">
        <v>23</v>
      </c>
    </row>
    <row r="58" spans="1:13" s="5" customFormat="1" ht="20.100000000000001" customHeight="1" x14ac:dyDescent="0.2">
      <c r="A58" s="18"/>
      <c r="B58" s="18" t="s">
        <v>30</v>
      </c>
      <c r="C58" s="5">
        <v>1</v>
      </c>
    </row>
    <row r="59" spans="1:13" s="5" customFormat="1" ht="20.100000000000001" customHeight="1" x14ac:dyDescent="0.2">
      <c r="A59" s="18"/>
      <c r="B59" s="21"/>
      <c r="C59" s="5">
        <v>2</v>
      </c>
    </row>
    <row r="60" spans="1:13" s="5" customFormat="1" ht="20.100000000000001" customHeight="1" x14ac:dyDescent="0.2">
      <c r="A60" s="18"/>
      <c r="B60" s="22"/>
      <c r="C60" s="5">
        <v>3</v>
      </c>
    </row>
    <row r="61" spans="1:13" ht="20.100000000000001" customHeight="1" x14ac:dyDescent="0.2">
      <c r="A61" s="18"/>
      <c r="B61" s="9"/>
      <c r="C61" s="9"/>
      <c r="D61" s="9"/>
      <c r="E61" s="9"/>
    </row>
    <row r="62" spans="1:13" s="5" customFormat="1" ht="20.100000000000001" customHeight="1" x14ac:dyDescent="0.2">
      <c r="A62" s="18"/>
      <c r="B62" s="18" t="s">
        <v>25</v>
      </c>
      <c r="C62" s="5" t="s">
        <v>2</v>
      </c>
    </row>
    <row r="63" spans="1:13" s="5" customFormat="1" ht="20.100000000000001" customHeight="1" x14ac:dyDescent="0.2">
      <c r="A63" s="18"/>
      <c r="B63" s="21"/>
      <c r="C63" s="5" t="s">
        <v>23</v>
      </c>
    </row>
    <row r="64" spans="1:13" s="5" customFormat="1" ht="20.100000000000001" customHeight="1" x14ac:dyDescent="0.2">
      <c r="A64" s="18"/>
      <c r="B64" s="22"/>
      <c r="C64" s="5" t="s">
        <v>6</v>
      </c>
    </row>
    <row r="67" spans="1:13" s="6" customFormat="1" ht="20.100000000000001" customHeight="1" x14ac:dyDescent="0.2">
      <c r="A67" s="29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30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30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31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topLeftCell="A7" workbookViewId="0">
      <pane xSplit="3" topLeftCell="D1" activePane="topRight" state="frozen"/>
      <selection pane="topRight" activeCell="D42" sqref="D42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19" t="s">
        <v>137</v>
      </c>
      <c r="B9" s="17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19"/>
      <c r="B10" s="17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19"/>
      <c r="B11" s="17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19"/>
      <c r="B12" s="17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19"/>
      <c r="B13" s="17" t="s">
        <v>30</v>
      </c>
      <c r="C13" s="3">
        <v>1</v>
      </c>
    </row>
    <row r="14" spans="1:17" s="3" customFormat="1" ht="20.100000000000001" customHeight="1" x14ac:dyDescent="0.2">
      <c r="A14" s="19"/>
      <c r="B14" s="17"/>
      <c r="C14" s="3">
        <v>2</v>
      </c>
    </row>
    <row r="15" spans="1:17" s="3" customFormat="1" ht="20.100000000000001" customHeight="1" x14ac:dyDescent="0.2">
      <c r="A15" s="19"/>
      <c r="B15" s="17"/>
      <c r="C15" s="3">
        <v>3</v>
      </c>
    </row>
    <row r="16" spans="1:17" s="2" customFormat="1" ht="20.100000000000001" customHeight="1" x14ac:dyDescent="0.2">
      <c r="A16" s="19"/>
    </row>
    <row r="17" spans="1:17" s="3" customFormat="1" ht="20.100000000000001" customHeight="1" x14ac:dyDescent="0.2">
      <c r="A17" s="19"/>
      <c r="B17" s="23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19"/>
      <c r="B18" s="24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19"/>
      <c r="B19" s="24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19"/>
      <c r="B20" s="25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0" t="s">
        <v>131</v>
      </c>
      <c r="B22" s="38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0"/>
      <c r="B23" s="38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0"/>
      <c r="B24" s="38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0"/>
      <c r="B25" s="38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0"/>
      <c r="B26" s="12"/>
      <c r="C26" s="10"/>
      <c r="D26" s="10"/>
      <c r="E26" s="10"/>
    </row>
    <row r="27" spans="1:17" s="4" customFormat="1" ht="20.100000000000001" customHeight="1" x14ac:dyDescent="0.2">
      <c r="A27" s="20"/>
      <c r="B27" s="38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0"/>
      <c r="B28" s="38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0"/>
      <c r="B29" s="38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0"/>
      <c r="B30" s="38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0"/>
      <c r="B31" s="13"/>
      <c r="C31" s="9"/>
      <c r="D31" s="9"/>
      <c r="E31" s="9"/>
    </row>
    <row r="32" spans="1:17" s="4" customFormat="1" ht="20.100000000000001" customHeight="1" x14ac:dyDescent="0.2">
      <c r="A32" s="20"/>
      <c r="B32" s="35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0"/>
      <c r="B33" s="36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0"/>
      <c r="B34" s="36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0"/>
      <c r="B35" s="37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0"/>
      <c r="B36" s="14"/>
      <c r="C36" s="1"/>
      <c r="D36" s="1"/>
      <c r="E36" s="1"/>
    </row>
    <row r="37" spans="1:17" s="4" customFormat="1" ht="20.100000000000001" customHeight="1" x14ac:dyDescent="0.2">
      <c r="A37" s="20"/>
      <c r="B37" s="35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0"/>
      <c r="B38" s="36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0"/>
      <c r="B39" s="36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0"/>
      <c r="B40" s="37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0"/>
      <c r="B41" s="14"/>
      <c r="C41" s="1"/>
      <c r="D41" s="1"/>
      <c r="E41" s="1"/>
    </row>
    <row r="42" spans="1:17" s="4" customFormat="1" ht="20.100000000000001" customHeight="1" x14ac:dyDescent="0.2">
      <c r="A42" s="20"/>
      <c r="B42" s="35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0"/>
      <c r="B43" s="36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0"/>
      <c r="B44" s="37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0"/>
      <c r="D45" s="7"/>
      <c r="E45" s="7"/>
    </row>
    <row r="46" spans="1:17" s="4" customFormat="1" ht="20.100000000000001" customHeight="1" x14ac:dyDescent="0.2">
      <c r="A46" s="20"/>
      <c r="B46" s="35" t="s">
        <v>30</v>
      </c>
      <c r="C46" s="4">
        <v>1</v>
      </c>
    </row>
    <row r="47" spans="1:17" s="4" customFormat="1" ht="20.100000000000001" customHeight="1" x14ac:dyDescent="0.2">
      <c r="A47" s="20"/>
      <c r="B47" s="36"/>
      <c r="C47" s="4">
        <v>2</v>
      </c>
    </row>
    <row r="48" spans="1:17" s="4" customFormat="1" ht="20.100000000000001" customHeight="1" x14ac:dyDescent="0.2">
      <c r="A48" s="20"/>
      <c r="B48" s="37"/>
      <c r="C48" s="4">
        <v>3</v>
      </c>
    </row>
    <row r="49" spans="1:17" s="2" customFormat="1" ht="20.100000000000001" customHeight="1" x14ac:dyDescent="0.2">
      <c r="A49" s="20"/>
      <c r="B49" s="15"/>
      <c r="C49" s="7"/>
      <c r="D49" s="8"/>
      <c r="E49" s="8"/>
    </row>
    <row r="50" spans="1:17" s="4" customFormat="1" ht="20.100000000000001" customHeight="1" x14ac:dyDescent="0.2">
      <c r="A50" s="20"/>
      <c r="B50" s="35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0"/>
      <c r="B51" s="36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0"/>
      <c r="B52" s="37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4" t="s">
        <v>136</v>
      </c>
      <c r="B54" s="34" t="s">
        <v>20</v>
      </c>
      <c r="C54" s="5" t="s">
        <v>21</v>
      </c>
    </row>
    <row r="55" spans="1:17" s="5" customFormat="1" ht="20.100000000000001" customHeight="1" x14ac:dyDescent="0.2">
      <c r="A55" s="21"/>
      <c r="B55" s="21"/>
      <c r="C55" s="5" t="s">
        <v>7</v>
      </c>
    </row>
    <row r="56" spans="1:17" s="5" customFormat="1" ht="20.100000000000001" customHeight="1" x14ac:dyDescent="0.2">
      <c r="A56" s="21"/>
      <c r="B56" s="21"/>
      <c r="C56" s="5" t="s">
        <v>22</v>
      </c>
    </row>
    <row r="57" spans="1:17" s="5" customFormat="1" ht="20.100000000000001" customHeight="1" x14ac:dyDescent="0.2">
      <c r="A57" s="21"/>
      <c r="B57" s="22"/>
      <c r="C57" s="5" t="s">
        <v>23</v>
      </c>
    </row>
    <row r="58" spans="1:17" s="5" customFormat="1" ht="20.100000000000001" customHeight="1" x14ac:dyDescent="0.2">
      <c r="A58" s="21"/>
      <c r="B58" s="34" t="s">
        <v>30</v>
      </c>
      <c r="C58" s="5">
        <v>1</v>
      </c>
    </row>
    <row r="59" spans="1:17" s="5" customFormat="1" ht="20.100000000000001" customHeight="1" x14ac:dyDescent="0.2">
      <c r="A59" s="21"/>
      <c r="B59" s="21"/>
      <c r="C59" s="5">
        <v>2</v>
      </c>
    </row>
    <row r="60" spans="1:17" s="5" customFormat="1" ht="20.100000000000001" customHeight="1" x14ac:dyDescent="0.2">
      <c r="A60" s="21"/>
      <c r="B60" s="22"/>
      <c r="C60" s="5">
        <v>3</v>
      </c>
    </row>
    <row r="61" spans="1:17" s="2" customFormat="1" ht="20.100000000000001" customHeight="1" x14ac:dyDescent="0.2">
      <c r="A61" s="21"/>
      <c r="B61" s="9"/>
      <c r="C61" s="9"/>
      <c r="D61" s="9"/>
      <c r="E61" s="9"/>
    </row>
    <row r="62" spans="1:17" s="5" customFormat="1" ht="20.100000000000001" customHeight="1" x14ac:dyDescent="0.2">
      <c r="A62" s="21"/>
      <c r="B62" s="34" t="s">
        <v>25</v>
      </c>
      <c r="C62" s="5" t="s">
        <v>2</v>
      </c>
    </row>
    <row r="63" spans="1:17" s="5" customFormat="1" ht="20.100000000000001" customHeight="1" x14ac:dyDescent="0.2">
      <c r="A63" s="21"/>
      <c r="B63" s="21"/>
      <c r="C63" s="5" t="s">
        <v>23</v>
      </c>
    </row>
    <row r="64" spans="1:17" s="5" customFormat="1" ht="20.100000000000001" customHeight="1" x14ac:dyDescent="0.2">
      <c r="A64" s="22"/>
      <c r="B64" s="22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29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30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30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31"/>
      <c r="B69" s="5" t="s">
        <v>134</v>
      </c>
      <c r="C69" s="5" t="s">
        <v>135</v>
      </c>
    </row>
  </sheetData>
  <mergeCells count="17">
    <mergeCell ref="A54:A64"/>
    <mergeCell ref="B54:B57"/>
    <mergeCell ref="B58:B60"/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7"/>
  <sheetViews>
    <sheetView workbookViewId="0">
      <selection activeCell="J1" sqref="J1:J1048576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>
        <v>3</v>
      </c>
      <c r="H5" s="1">
        <v>3</v>
      </c>
      <c r="I5" s="1">
        <v>3</v>
      </c>
      <c r="J5" s="1">
        <v>3</v>
      </c>
      <c r="K5" s="1">
        <v>3</v>
      </c>
      <c r="L5" s="1">
        <v>3</v>
      </c>
      <c r="M5" s="1">
        <v>3</v>
      </c>
      <c r="N5" s="1">
        <v>3</v>
      </c>
      <c r="O5" s="1">
        <v>3</v>
      </c>
      <c r="P5" s="1">
        <v>3</v>
      </c>
      <c r="Q5" s="1">
        <v>3</v>
      </c>
      <c r="R5" s="1">
        <v>3</v>
      </c>
      <c r="S5" s="1">
        <v>3</v>
      </c>
      <c r="T5" s="1">
        <v>3</v>
      </c>
      <c r="U5" s="1">
        <v>3</v>
      </c>
      <c r="V5" s="1">
        <v>3</v>
      </c>
      <c r="W5" s="1">
        <v>3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</row>
    <row r="6" spans="1:31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2</v>
      </c>
      <c r="K6" s="1">
        <v>2</v>
      </c>
      <c r="L6" s="1">
        <v>2</v>
      </c>
      <c r="M6" s="1">
        <v>2</v>
      </c>
      <c r="N6" s="1">
        <v>2</v>
      </c>
      <c r="O6" s="1">
        <v>2</v>
      </c>
      <c r="P6" s="1">
        <v>2</v>
      </c>
      <c r="Q6" s="1">
        <v>3</v>
      </c>
      <c r="R6" s="1">
        <v>3</v>
      </c>
      <c r="S6" s="1">
        <v>3</v>
      </c>
      <c r="T6" s="1">
        <v>3</v>
      </c>
      <c r="U6" s="1">
        <v>4</v>
      </c>
      <c r="V6" s="1">
        <v>4</v>
      </c>
      <c r="W6" s="1">
        <v>4</v>
      </c>
      <c r="X6" s="1">
        <v>5</v>
      </c>
      <c r="Y6" s="1">
        <v>5</v>
      </c>
      <c r="Z6" s="1">
        <v>5</v>
      </c>
      <c r="AA6" s="1">
        <v>5</v>
      </c>
      <c r="AB6" s="1">
        <v>5</v>
      </c>
      <c r="AC6" s="1">
        <v>6</v>
      </c>
      <c r="AD6" s="1">
        <v>6</v>
      </c>
      <c r="AE6" s="1">
        <v>6</v>
      </c>
    </row>
    <row r="7" spans="1:31" s="3" customFormat="1" ht="20.100000000000001" customHeight="1" x14ac:dyDescent="0.2">
      <c r="A7" s="19" t="s">
        <v>137</v>
      </c>
      <c r="B7" s="17" t="s">
        <v>24</v>
      </c>
      <c r="C7" s="3" t="s">
        <v>6</v>
      </c>
      <c r="D7" s="3">
        <v>17</v>
      </c>
    </row>
    <row r="8" spans="1:31" s="3" customFormat="1" ht="20.100000000000001" customHeight="1" x14ac:dyDescent="0.2">
      <c r="A8" s="19"/>
      <c r="B8" s="17"/>
      <c r="C8" s="3" t="s">
        <v>7</v>
      </c>
      <c r="D8" s="3">
        <v>200</v>
      </c>
    </row>
    <row r="9" spans="1:31" s="3" customFormat="1" ht="20.100000000000001" customHeight="1" x14ac:dyDescent="0.2">
      <c r="A9" s="19"/>
      <c r="B9" s="17"/>
      <c r="C9" s="3" t="s">
        <v>8</v>
      </c>
      <c r="D9" s="3">
        <v>6</v>
      </c>
    </row>
    <row r="10" spans="1:31" s="3" customFormat="1" ht="20.100000000000001" customHeight="1" x14ac:dyDescent="0.2">
      <c r="A10" s="19"/>
      <c r="B10" s="17"/>
      <c r="C10" s="3" t="s">
        <v>9</v>
      </c>
      <c r="D10" s="3" t="s">
        <v>27</v>
      </c>
    </row>
    <row r="11" spans="1:31" s="3" customFormat="1" ht="20.100000000000001" customHeight="1" x14ac:dyDescent="0.2">
      <c r="A11" s="19"/>
      <c r="B11" s="17" t="s">
        <v>30</v>
      </c>
      <c r="C11" s="3">
        <v>1</v>
      </c>
    </row>
    <row r="12" spans="1:31" s="3" customFormat="1" ht="20.100000000000001" customHeight="1" x14ac:dyDescent="0.2">
      <c r="A12" s="19"/>
      <c r="B12" s="17"/>
      <c r="C12" s="3">
        <v>2</v>
      </c>
    </row>
    <row r="13" spans="1:31" s="3" customFormat="1" ht="20.100000000000001" customHeight="1" x14ac:dyDescent="0.2">
      <c r="A13" s="19"/>
      <c r="B13" s="17"/>
      <c r="C13" s="3">
        <v>3</v>
      </c>
    </row>
    <row r="14" spans="1:31" s="2" customFormat="1" ht="20.100000000000001" customHeight="1" x14ac:dyDescent="0.2">
      <c r="A14" s="19"/>
    </row>
    <row r="15" spans="1:31" s="3" customFormat="1" ht="20.100000000000001" customHeight="1" x14ac:dyDescent="0.2">
      <c r="A15" s="19"/>
      <c r="B15" s="23" t="s">
        <v>1</v>
      </c>
      <c r="C15" s="3" t="s">
        <v>2</v>
      </c>
      <c r="D15" s="3">
        <v>0</v>
      </c>
    </row>
    <row r="16" spans="1:31" s="3" customFormat="1" ht="20.100000000000001" customHeight="1" x14ac:dyDescent="0.2">
      <c r="A16" s="19"/>
      <c r="B16" s="24"/>
      <c r="C16" s="3" t="s">
        <v>3</v>
      </c>
      <c r="D16" s="3">
        <v>0.3</v>
      </c>
    </row>
    <row r="17" spans="1:5" s="3" customFormat="1" ht="20.100000000000001" customHeight="1" x14ac:dyDescent="0.2">
      <c r="A17" s="19"/>
      <c r="B17" s="24"/>
      <c r="C17" s="3" t="s">
        <v>4</v>
      </c>
      <c r="D17" s="3">
        <v>0.05</v>
      </c>
    </row>
    <row r="18" spans="1:5" s="3" customFormat="1" ht="20.100000000000001" customHeight="1" x14ac:dyDescent="0.2">
      <c r="A18" s="19"/>
      <c r="B18" s="25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0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0"/>
      <c r="B21" s="38"/>
      <c r="C21" s="4" t="s">
        <v>7</v>
      </c>
    </row>
    <row r="22" spans="1:5" s="4" customFormat="1" ht="20.100000000000001" customHeight="1" x14ac:dyDescent="0.2">
      <c r="A22" s="20"/>
      <c r="B22" s="38"/>
      <c r="C22" s="4" t="s">
        <v>14</v>
      </c>
    </row>
    <row r="23" spans="1:5" s="4" customFormat="1" ht="20.100000000000001" customHeight="1" x14ac:dyDescent="0.2">
      <c r="A23" s="20"/>
      <c r="B23" s="38"/>
      <c r="C23" s="4" t="s">
        <v>15</v>
      </c>
    </row>
    <row r="24" spans="1:5" s="2" customFormat="1" ht="20.100000000000001" customHeight="1" x14ac:dyDescent="0.2">
      <c r="A24" s="20"/>
      <c r="B24" s="12"/>
      <c r="C24" s="10"/>
      <c r="D24" s="10"/>
      <c r="E24" s="10"/>
    </row>
    <row r="25" spans="1:5" s="4" customFormat="1" ht="20.100000000000001" customHeight="1" x14ac:dyDescent="0.2">
      <c r="A25" s="20"/>
      <c r="B25" s="38" t="s">
        <v>16</v>
      </c>
      <c r="C25" s="4" t="s">
        <v>13</v>
      </c>
    </row>
    <row r="26" spans="1:5" s="4" customFormat="1" ht="20.100000000000001" customHeight="1" x14ac:dyDescent="0.2">
      <c r="A26" s="20"/>
      <c r="B26" s="38"/>
      <c r="C26" s="4" t="s">
        <v>7</v>
      </c>
    </row>
    <row r="27" spans="1:5" s="4" customFormat="1" ht="20.100000000000001" customHeight="1" x14ac:dyDescent="0.2">
      <c r="A27" s="20"/>
      <c r="B27" s="38"/>
      <c r="C27" s="4" t="s">
        <v>14</v>
      </c>
    </row>
    <row r="28" spans="1:5" s="4" customFormat="1" ht="20.100000000000001" customHeight="1" x14ac:dyDescent="0.2">
      <c r="A28" s="20"/>
      <c r="B28" s="38"/>
      <c r="C28" s="4" t="s">
        <v>15</v>
      </c>
    </row>
    <row r="29" spans="1:5" s="2" customFormat="1" ht="20.100000000000001" customHeight="1" x14ac:dyDescent="0.2">
      <c r="A29" s="20"/>
      <c r="B29" s="13"/>
      <c r="C29" s="9"/>
      <c r="D29" s="9"/>
      <c r="E29" s="9"/>
    </row>
    <row r="30" spans="1:5" s="4" customFormat="1" ht="20.100000000000001" customHeight="1" x14ac:dyDescent="0.2">
      <c r="A30" s="20"/>
      <c r="B30" s="35" t="s">
        <v>17</v>
      </c>
      <c r="C30" s="4" t="s">
        <v>13</v>
      </c>
    </row>
    <row r="31" spans="1:5" s="4" customFormat="1" ht="20.100000000000001" customHeight="1" x14ac:dyDescent="0.2">
      <c r="A31" s="20"/>
      <c r="B31" s="36"/>
      <c r="C31" s="4" t="s">
        <v>7</v>
      </c>
    </row>
    <row r="32" spans="1:5" s="4" customFormat="1" ht="20.100000000000001" customHeight="1" x14ac:dyDescent="0.2">
      <c r="A32" s="20"/>
      <c r="B32" s="36"/>
      <c r="C32" s="4" t="s">
        <v>14</v>
      </c>
    </row>
    <row r="33" spans="1:16" s="4" customFormat="1" ht="20.100000000000001" customHeight="1" x14ac:dyDescent="0.2">
      <c r="A33" s="20"/>
      <c r="B33" s="37"/>
      <c r="C33" s="4" t="s">
        <v>15</v>
      </c>
    </row>
    <row r="34" spans="1:16" s="2" customFormat="1" ht="20.100000000000001" customHeight="1" x14ac:dyDescent="0.2">
      <c r="A34" s="20"/>
      <c r="B34" s="14"/>
      <c r="C34" s="1"/>
      <c r="D34" s="1"/>
      <c r="E34" s="1"/>
    </row>
    <row r="35" spans="1:16" s="4" customFormat="1" ht="20.100000000000001" customHeight="1" x14ac:dyDescent="0.2">
      <c r="A35" s="20"/>
      <c r="B35" s="35" t="s">
        <v>18</v>
      </c>
      <c r="C35" s="4" t="s">
        <v>13</v>
      </c>
    </row>
    <row r="36" spans="1:16" s="4" customFormat="1" ht="20.100000000000001" customHeight="1" x14ac:dyDescent="0.2">
      <c r="A36" s="20"/>
      <c r="B36" s="36"/>
      <c r="C36" s="4" t="s">
        <v>7</v>
      </c>
    </row>
    <row r="37" spans="1:16" s="4" customFormat="1" ht="20.100000000000001" customHeight="1" x14ac:dyDescent="0.2">
      <c r="A37" s="20"/>
      <c r="B37" s="36"/>
      <c r="C37" s="4" t="s">
        <v>14</v>
      </c>
    </row>
    <row r="38" spans="1:16" s="4" customFormat="1" ht="20.100000000000001" customHeight="1" x14ac:dyDescent="0.2">
      <c r="A38" s="20"/>
      <c r="B38" s="37"/>
      <c r="C38" s="4" t="s">
        <v>15</v>
      </c>
    </row>
    <row r="39" spans="1:16" s="2" customFormat="1" ht="20.100000000000001" customHeight="1" x14ac:dyDescent="0.2">
      <c r="A39" s="20"/>
      <c r="B39" s="14"/>
      <c r="C39" s="1"/>
      <c r="D39" s="1"/>
      <c r="E39" s="1"/>
    </row>
    <row r="40" spans="1:16" s="4" customFormat="1" ht="20.100000000000001" customHeight="1" x14ac:dyDescent="0.2">
      <c r="A40" s="20"/>
      <c r="B40" s="35" t="s">
        <v>19</v>
      </c>
      <c r="C40" s="4" t="s">
        <v>7</v>
      </c>
    </row>
    <row r="41" spans="1:16" s="4" customFormat="1" ht="20.100000000000001" customHeight="1" x14ac:dyDescent="0.2">
      <c r="A41" s="20"/>
      <c r="B41" s="36"/>
      <c r="C41" s="4" t="s">
        <v>14</v>
      </c>
    </row>
    <row r="42" spans="1:16" s="4" customFormat="1" ht="20.100000000000001" customHeight="1" x14ac:dyDescent="0.2">
      <c r="A42" s="20"/>
      <c r="B42" s="37"/>
      <c r="C42" s="4" t="s">
        <v>15</v>
      </c>
    </row>
    <row r="43" spans="1:16" s="2" customFormat="1" ht="20.100000000000001" customHeight="1" x14ac:dyDescent="0.2">
      <c r="A43" s="20"/>
      <c r="D43" s="7"/>
      <c r="E43" s="7"/>
    </row>
    <row r="44" spans="1:16" s="4" customFormat="1" ht="20.100000000000001" customHeight="1" x14ac:dyDescent="0.2">
      <c r="A44" s="20"/>
      <c r="B44" s="35" t="s">
        <v>30</v>
      </c>
      <c r="C44" s="4">
        <v>1</v>
      </c>
    </row>
    <row r="45" spans="1:16" s="4" customFormat="1" ht="20.100000000000001" customHeight="1" x14ac:dyDescent="0.2">
      <c r="A45" s="20"/>
      <c r="B45" s="36"/>
      <c r="C45" s="4">
        <v>2</v>
      </c>
    </row>
    <row r="46" spans="1:16" s="4" customFormat="1" ht="20.100000000000001" customHeight="1" x14ac:dyDescent="0.2">
      <c r="A46" s="20"/>
      <c r="B46" s="37"/>
      <c r="C46" s="4">
        <v>3</v>
      </c>
    </row>
    <row r="47" spans="1:16" s="2" customFormat="1" ht="20.100000000000001" customHeight="1" x14ac:dyDescent="0.2">
      <c r="A47" s="20"/>
      <c r="B47" s="15"/>
      <c r="C47" s="7"/>
      <c r="D47" s="8"/>
      <c r="E47" s="8"/>
    </row>
    <row r="48" spans="1:16" s="4" customFormat="1" ht="20.100000000000001" customHeight="1" x14ac:dyDescent="0.2">
      <c r="A48" s="20"/>
      <c r="B48" s="35" t="s">
        <v>28</v>
      </c>
      <c r="C48" s="4" t="s">
        <v>29</v>
      </c>
      <c r="D48" s="4">
        <f t="shared" ref="D48:P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</row>
    <row r="49" spans="1:16" s="4" customFormat="1" ht="20.100000000000001" customHeight="1" x14ac:dyDescent="0.2">
      <c r="A49" s="20"/>
      <c r="B49" s="36"/>
      <c r="C49" s="4" t="s">
        <v>129</v>
      </c>
      <c r="D49" s="4">
        <f t="shared" ref="D49:P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</row>
    <row r="50" spans="1:16" s="4" customFormat="1" ht="20.100000000000001" customHeight="1" x14ac:dyDescent="0.2">
      <c r="A50" s="20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P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</row>
    <row r="51" spans="1:16" s="7" customFormat="1" ht="20.100000000000001" customHeight="1" x14ac:dyDescent="0.2">
      <c r="A51" s="2"/>
      <c r="B51" s="8"/>
      <c r="C51" s="8"/>
    </row>
    <row r="52" spans="1:16" s="5" customFormat="1" ht="20.100000000000001" customHeight="1" x14ac:dyDescent="0.2">
      <c r="A52" s="34" t="s">
        <v>136</v>
      </c>
      <c r="B52" s="34" t="s">
        <v>20</v>
      </c>
      <c r="C52" s="5" t="s">
        <v>21</v>
      </c>
    </row>
    <row r="53" spans="1:16" s="5" customFormat="1" ht="20.100000000000001" customHeight="1" x14ac:dyDescent="0.2">
      <c r="A53" s="21"/>
      <c r="B53" s="21"/>
      <c r="C53" s="5" t="s">
        <v>7</v>
      </c>
    </row>
    <row r="54" spans="1:16" s="5" customFormat="1" ht="20.100000000000001" customHeight="1" x14ac:dyDescent="0.2">
      <c r="A54" s="21"/>
      <c r="B54" s="21"/>
      <c r="C54" s="5" t="s">
        <v>22</v>
      </c>
    </row>
    <row r="55" spans="1:16" s="5" customFormat="1" ht="20.100000000000001" customHeight="1" x14ac:dyDescent="0.2">
      <c r="A55" s="21"/>
      <c r="B55" s="22"/>
      <c r="C55" s="5" t="s">
        <v>23</v>
      </c>
    </row>
    <row r="56" spans="1:16" s="5" customFormat="1" ht="20.100000000000001" customHeight="1" x14ac:dyDescent="0.2">
      <c r="A56" s="21"/>
      <c r="B56" s="34" t="s">
        <v>30</v>
      </c>
      <c r="C56" s="5">
        <v>1</v>
      </c>
    </row>
    <row r="57" spans="1:16" s="5" customFormat="1" ht="20.100000000000001" customHeight="1" x14ac:dyDescent="0.2">
      <c r="A57" s="21"/>
      <c r="B57" s="21"/>
      <c r="C57" s="5">
        <v>2</v>
      </c>
    </row>
    <row r="58" spans="1:16" s="5" customFormat="1" ht="20.100000000000001" customHeight="1" x14ac:dyDescent="0.2">
      <c r="A58" s="21"/>
      <c r="B58" s="22"/>
      <c r="C58" s="5">
        <v>3</v>
      </c>
    </row>
    <row r="59" spans="1:16" s="2" customFormat="1" ht="20.100000000000001" customHeight="1" x14ac:dyDescent="0.2">
      <c r="A59" s="21"/>
      <c r="B59" s="9"/>
      <c r="C59" s="9"/>
      <c r="D59" s="9"/>
      <c r="E59" s="9"/>
    </row>
    <row r="60" spans="1:16" s="5" customFormat="1" ht="20.100000000000001" customHeight="1" x14ac:dyDescent="0.2">
      <c r="A60" s="21"/>
      <c r="B60" s="34" t="s">
        <v>25</v>
      </c>
      <c r="C60" s="5" t="s">
        <v>2</v>
      </c>
    </row>
    <row r="61" spans="1:16" s="5" customFormat="1" ht="20.100000000000001" customHeight="1" x14ac:dyDescent="0.2">
      <c r="A61" s="21"/>
      <c r="B61" s="21"/>
      <c r="C61" s="5" t="s">
        <v>23</v>
      </c>
    </row>
    <row r="62" spans="1:16" s="5" customFormat="1" ht="20.100000000000001" customHeight="1" x14ac:dyDescent="0.2">
      <c r="A62" s="22"/>
      <c r="B62" s="22"/>
      <c r="C62" s="5" t="s">
        <v>6</v>
      </c>
    </row>
    <row r="63" spans="1:16" s="2" customFormat="1" ht="20.100000000000001" customHeight="1" x14ac:dyDescent="0.2"/>
    <row r="64" spans="1:16" s="6" customFormat="1" ht="20.100000000000001" customHeight="1" x14ac:dyDescent="0.2">
      <c r="A64" s="29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30"/>
      <c r="B65" s="4" t="s">
        <v>132</v>
      </c>
      <c r="C65" s="4" t="s">
        <v>135</v>
      </c>
    </row>
    <row r="66" spans="1:3" s="4" customFormat="1" ht="20.100000000000001" customHeight="1" x14ac:dyDescent="0.2">
      <c r="A66" s="30"/>
      <c r="B66" s="4" t="s">
        <v>133</v>
      </c>
      <c r="C66" s="4" t="s">
        <v>135</v>
      </c>
    </row>
    <row r="67" spans="1:3" s="5" customFormat="1" ht="20.100000000000001" customHeight="1" x14ac:dyDescent="0.2">
      <c r="A67" s="31"/>
      <c r="B67" s="5" t="s">
        <v>134</v>
      </c>
      <c r="C67" s="5" t="s">
        <v>135</v>
      </c>
    </row>
  </sheetData>
  <mergeCells count="17"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1:AF67"/>
  <sheetViews>
    <sheetView workbookViewId="0">
      <selection activeCell="B35" sqref="B35:B38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149</v>
      </c>
      <c r="E4" s="1" t="s">
        <v>150</v>
      </c>
      <c r="F4" s="1" t="s">
        <v>151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s="11" customFormat="1" ht="20.100000000000001" customHeight="1" x14ac:dyDescent="0.2">
      <c r="A6" s="1"/>
      <c r="B6" s="1"/>
      <c r="C6" s="1" t="s">
        <v>125</v>
      </c>
      <c r="D6" s="1">
        <v>2</v>
      </c>
      <c r="E6" s="1">
        <v>3</v>
      </c>
      <c r="F6" s="1">
        <v>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s="3" customFormat="1" ht="20.100000000000001" customHeight="1" x14ac:dyDescent="0.2">
      <c r="A7" s="19" t="s">
        <v>137</v>
      </c>
      <c r="B7" s="17" t="s">
        <v>24</v>
      </c>
      <c r="C7" s="3" t="s">
        <v>6</v>
      </c>
      <c r="D7" s="3">
        <v>17</v>
      </c>
    </row>
    <row r="8" spans="1:32" s="3" customFormat="1" ht="20.100000000000001" customHeight="1" x14ac:dyDescent="0.2">
      <c r="A8" s="19"/>
      <c r="B8" s="17"/>
      <c r="C8" s="3" t="s">
        <v>7</v>
      </c>
      <c r="D8" s="3">
        <v>200</v>
      </c>
    </row>
    <row r="9" spans="1:32" s="3" customFormat="1" ht="20.100000000000001" customHeight="1" x14ac:dyDescent="0.2">
      <c r="A9" s="19"/>
      <c r="B9" s="17"/>
      <c r="C9" s="3" t="s">
        <v>8</v>
      </c>
      <c r="D9" s="3">
        <v>6</v>
      </c>
    </row>
    <row r="10" spans="1:32" s="3" customFormat="1" ht="20.100000000000001" customHeight="1" x14ac:dyDescent="0.2">
      <c r="A10" s="19"/>
      <c r="B10" s="17"/>
      <c r="C10" s="3" t="s">
        <v>9</v>
      </c>
      <c r="D10" s="3" t="s">
        <v>27</v>
      </c>
    </row>
    <row r="11" spans="1:32" s="3" customFormat="1" ht="20.100000000000001" customHeight="1" x14ac:dyDescent="0.2">
      <c r="A11" s="19"/>
      <c r="B11" s="17" t="s">
        <v>30</v>
      </c>
      <c r="C11" s="3">
        <v>1</v>
      </c>
    </row>
    <row r="12" spans="1:32" s="3" customFormat="1" ht="20.100000000000001" customHeight="1" x14ac:dyDescent="0.2">
      <c r="A12" s="19"/>
      <c r="B12" s="17"/>
      <c r="C12" s="3">
        <v>2</v>
      </c>
    </row>
    <row r="13" spans="1:32" s="3" customFormat="1" ht="20.100000000000001" customHeight="1" x14ac:dyDescent="0.2">
      <c r="A13" s="19"/>
      <c r="B13" s="17"/>
      <c r="C13" s="3">
        <v>3</v>
      </c>
    </row>
    <row r="14" spans="1:32" s="2" customFormat="1" ht="20.100000000000001" customHeight="1" x14ac:dyDescent="0.2">
      <c r="A14" s="19"/>
    </row>
    <row r="15" spans="1:32" s="3" customFormat="1" ht="20.100000000000001" customHeight="1" x14ac:dyDescent="0.2">
      <c r="A15" s="19"/>
      <c r="B15" s="23" t="s">
        <v>1</v>
      </c>
      <c r="C15" s="3" t="s">
        <v>2</v>
      </c>
      <c r="D15" s="3">
        <v>0</v>
      </c>
    </row>
    <row r="16" spans="1:32" s="3" customFormat="1" ht="20.100000000000001" customHeight="1" x14ac:dyDescent="0.2">
      <c r="A16" s="19"/>
      <c r="B16" s="24"/>
      <c r="C16" s="3" t="s">
        <v>3</v>
      </c>
      <c r="D16" s="3">
        <v>0.3</v>
      </c>
    </row>
    <row r="17" spans="1:5" s="3" customFormat="1" ht="20.100000000000001" customHeight="1" x14ac:dyDescent="0.2">
      <c r="A17" s="19"/>
      <c r="B17" s="24"/>
      <c r="C17" s="3" t="s">
        <v>4</v>
      </c>
      <c r="D17" s="3">
        <v>0.05</v>
      </c>
    </row>
    <row r="18" spans="1:5" s="3" customFormat="1" ht="20.100000000000001" customHeight="1" x14ac:dyDescent="0.2">
      <c r="A18" s="19"/>
      <c r="B18" s="25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0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0"/>
      <c r="B21" s="38"/>
      <c r="C21" s="4" t="s">
        <v>7</v>
      </c>
    </row>
    <row r="22" spans="1:5" s="4" customFormat="1" ht="20.100000000000001" customHeight="1" x14ac:dyDescent="0.2">
      <c r="A22" s="20"/>
      <c r="B22" s="38"/>
      <c r="C22" s="4" t="s">
        <v>14</v>
      </c>
    </row>
    <row r="23" spans="1:5" s="4" customFormat="1" ht="20.100000000000001" customHeight="1" x14ac:dyDescent="0.2">
      <c r="A23" s="20"/>
      <c r="B23" s="38"/>
      <c r="C23" s="4" t="s">
        <v>15</v>
      </c>
    </row>
    <row r="24" spans="1:5" s="2" customFormat="1" ht="20.100000000000001" customHeight="1" x14ac:dyDescent="0.2">
      <c r="A24" s="20"/>
      <c r="B24" s="12"/>
      <c r="C24" s="10"/>
      <c r="D24" s="10"/>
      <c r="E24" s="10"/>
    </row>
    <row r="25" spans="1:5" s="4" customFormat="1" ht="20.100000000000001" customHeight="1" x14ac:dyDescent="0.2">
      <c r="A25" s="20"/>
      <c r="B25" s="38" t="s">
        <v>16</v>
      </c>
      <c r="C25" s="4" t="s">
        <v>13</v>
      </c>
    </row>
    <row r="26" spans="1:5" s="4" customFormat="1" ht="20.100000000000001" customHeight="1" x14ac:dyDescent="0.2">
      <c r="A26" s="20"/>
      <c r="B26" s="38"/>
      <c r="C26" s="4" t="s">
        <v>7</v>
      </c>
    </row>
    <row r="27" spans="1:5" s="4" customFormat="1" ht="20.100000000000001" customHeight="1" x14ac:dyDescent="0.2">
      <c r="A27" s="20"/>
      <c r="B27" s="38"/>
      <c r="C27" s="4" t="s">
        <v>14</v>
      </c>
    </row>
    <row r="28" spans="1:5" s="4" customFormat="1" ht="20.100000000000001" customHeight="1" x14ac:dyDescent="0.2">
      <c r="A28" s="20"/>
      <c r="B28" s="38"/>
      <c r="C28" s="4" t="s">
        <v>15</v>
      </c>
    </row>
    <row r="29" spans="1:5" s="2" customFormat="1" ht="20.100000000000001" customHeight="1" x14ac:dyDescent="0.2">
      <c r="A29" s="20"/>
      <c r="B29" s="13"/>
      <c r="C29" s="9"/>
      <c r="D29" s="9"/>
      <c r="E29" s="9"/>
    </row>
    <row r="30" spans="1:5" s="4" customFormat="1" ht="20.100000000000001" customHeight="1" x14ac:dyDescent="0.2">
      <c r="A30" s="20"/>
      <c r="B30" s="35" t="s">
        <v>17</v>
      </c>
      <c r="C30" s="4" t="s">
        <v>13</v>
      </c>
    </row>
    <row r="31" spans="1:5" s="4" customFormat="1" ht="20.100000000000001" customHeight="1" x14ac:dyDescent="0.2">
      <c r="A31" s="20"/>
      <c r="B31" s="36"/>
      <c r="C31" s="4" t="s">
        <v>7</v>
      </c>
    </row>
    <row r="32" spans="1:5" s="4" customFormat="1" ht="20.100000000000001" customHeight="1" x14ac:dyDescent="0.2">
      <c r="A32" s="20"/>
      <c r="B32" s="36"/>
      <c r="C32" s="4" t="s">
        <v>14</v>
      </c>
    </row>
    <row r="33" spans="1:17" s="4" customFormat="1" ht="20.100000000000001" customHeight="1" x14ac:dyDescent="0.2">
      <c r="A33" s="20"/>
      <c r="B33" s="37"/>
      <c r="C33" s="4" t="s">
        <v>15</v>
      </c>
    </row>
    <row r="34" spans="1:17" s="2" customFormat="1" ht="20.100000000000001" customHeight="1" x14ac:dyDescent="0.2">
      <c r="A34" s="20"/>
      <c r="B34" s="14"/>
      <c r="C34" s="1"/>
      <c r="D34" s="1"/>
      <c r="E34" s="1"/>
    </row>
    <row r="35" spans="1:17" s="4" customFormat="1" ht="20.100000000000001" customHeight="1" x14ac:dyDescent="0.2">
      <c r="A35" s="20"/>
      <c r="B35" s="35" t="s">
        <v>18</v>
      </c>
      <c r="C35" s="4" t="s">
        <v>13</v>
      </c>
    </row>
    <row r="36" spans="1:17" s="4" customFormat="1" ht="20.100000000000001" customHeight="1" x14ac:dyDescent="0.2">
      <c r="A36" s="20"/>
      <c r="B36" s="36"/>
      <c r="C36" s="4" t="s">
        <v>7</v>
      </c>
    </row>
    <row r="37" spans="1:17" s="4" customFormat="1" ht="20.100000000000001" customHeight="1" x14ac:dyDescent="0.2">
      <c r="A37" s="20"/>
      <c r="B37" s="36"/>
      <c r="C37" s="4" t="s">
        <v>14</v>
      </c>
    </row>
    <row r="38" spans="1:17" s="4" customFormat="1" ht="20.100000000000001" customHeight="1" x14ac:dyDescent="0.2">
      <c r="A38" s="20"/>
      <c r="B38" s="37"/>
      <c r="C38" s="4" t="s">
        <v>15</v>
      </c>
    </row>
    <row r="39" spans="1:17" s="2" customFormat="1" ht="20.100000000000001" customHeight="1" x14ac:dyDescent="0.2">
      <c r="A39" s="20"/>
      <c r="B39" s="14"/>
      <c r="C39" s="1"/>
      <c r="D39" s="1"/>
      <c r="E39" s="1"/>
    </row>
    <row r="40" spans="1:17" s="4" customFormat="1" ht="20.100000000000001" customHeight="1" x14ac:dyDescent="0.2">
      <c r="A40" s="20"/>
      <c r="B40" s="35" t="s">
        <v>19</v>
      </c>
      <c r="C40" s="4" t="s">
        <v>7</v>
      </c>
    </row>
    <row r="41" spans="1:17" s="4" customFormat="1" ht="20.100000000000001" customHeight="1" x14ac:dyDescent="0.2">
      <c r="A41" s="20"/>
      <c r="B41" s="36"/>
      <c r="C41" s="4" t="s">
        <v>14</v>
      </c>
    </row>
    <row r="42" spans="1:17" s="4" customFormat="1" ht="20.100000000000001" customHeight="1" x14ac:dyDescent="0.2">
      <c r="A42" s="20"/>
      <c r="B42" s="37"/>
      <c r="C42" s="4" t="s">
        <v>15</v>
      </c>
    </row>
    <row r="43" spans="1:17" s="2" customFormat="1" ht="20.100000000000001" customHeight="1" x14ac:dyDescent="0.2">
      <c r="A43" s="20"/>
      <c r="D43" s="7"/>
      <c r="E43" s="7"/>
    </row>
    <row r="44" spans="1:17" s="4" customFormat="1" ht="20.100000000000001" customHeight="1" x14ac:dyDescent="0.2">
      <c r="A44" s="20"/>
      <c r="B44" s="35" t="s">
        <v>30</v>
      </c>
      <c r="C44" s="4">
        <v>1</v>
      </c>
    </row>
    <row r="45" spans="1:17" s="4" customFormat="1" ht="20.100000000000001" customHeight="1" x14ac:dyDescent="0.2">
      <c r="A45" s="20"/>
      <c r="B45" s="36"/>
      <c r="C45" s="4">
        <v>2</v>
      </c>
    </row>
    <row r="46" spans="1:17" s="4" customFormat="1" ht="20.100000000000001" customHeight="1" x14ac:dyDescent="0.2">
      <c r="A46" s="20"/>
      <c r="B46" s="37"/>
      <c r="C46" s="4">
        <v>3</v>
      </c>
    </row>
    <row r="47" spans="1:17" s="2" customFormat="1" ht="20.100000000000001" customHeight="1" x14ac:dyDescent="0.2">
      <c r="A47" s="20"/>
      <c r="B47" s="15"/>
      <c r="C47" s="7"/>
      <c r="D47" s="8"/>
      <c r="E47" s="8"/>
    </row>
    <row r="48" spans="1:17" s="4" customFormat="1" ht="20.100000000000001" customHeight="1" x14ac:dyDescent="0.2">
      <c r="A48" s="20"/>
      <c r="B48" s="35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0"/>
      <c r="B49" s="36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0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4" t="s">
        <v>136</v>
      </c>
      <c r="B52" s="34" t="s">
        <v>20</v>
      </c>
      <c r="C52" s="5" t="s">
        <v>21</v>
      </c>
    </row>
    <row r="53" spans="1:17" s="5" customFormat="1" ht="20.100000000000001" customHeight="1" x14ac:dyDescent="0.2">
      <c r="A53" s="21"/>
      <c r="B53" s="21"/>
      <c r="C53" s="5" t="s">
        <v>7</v>
      </c>
    </row>
    <row r="54" spans="1:17" s="5" customFormat="1" ht="20.100000000000001" customHeight="1" x14ac:dyDescent="0.2">
      <c r="A54" s="21"/>
      <c r="B54" s="21"/>
      <c r="C54" s="5" t="s">
        <v>22</v>
      </c>
    </row>
    <row r="55" spans="1:17" s="5" customFormat="1" ht="20.100000000000001" customHeight="1" x14ac:dyDescent="0.2">
      <c r="A55" s="21"/>
      <c r="B55" s="22"/>
      <c r="C55" s="5" t="s">
        <v>23</v>
      </c>
    </row>
    <row r="56" spans="1:17" s="5" customFormat="1" ht="20.100000000000001" customHeight="1" x14ac:dyDescent="0.2">
      <c r="A56" s="21"/>
      <c r="B56" s="34" t="s">
        <v>30</v>
      </c>
      <c r="C56" s="5">
        <v>1</v>
      </c>
    </row>
    <row r="57" spans="1:17" s="5" customFormat="1" ht="20.100000000000001" customHeight="1" x14ac:dyDescent="0.2">
      <c r="A57" s="21"/>
      <c r="B57" s="21"/>
      <c r="C57" s="5">
        <v>2</v>
      </c>
    </row>
    <row r="58" spans="1:17" s="5" customFormat="1" ht="20.100000000000001" customHeight="1" x14ac:dyDescent="0.2">
      <c r="A58" s="21"/>
      <c r="B58" s="22"/>
      <c r="C58" s="5">
        <v>3</v>
      </c>
    </row>
    <row r="59" spans="1:17" s="2" customFormat="1" ht="20.100000000000001" customHeight="1" x14ac:dyDescent="0.2">
      <c r="A59" s="21"/>
      <c r="B59" s="9"/>
      <c r="C59" s="9"/>
      <c r="D59" s="9"/>
      <c r="E59" s="9"/>
    </row>
    <row r="60" spans="1:17" s="5" customFormat="1" ht="20.100000000000001" customHeight="1" x14ac:dyDescent="0.2">
      <c r="A60" s="21"/>
      <c r="B60" s="34" t="s">
        <v>25</v>
      </c>
      <c r="C60" s="5" t="s">
        <v>2</v>
      </c>
    </row>
    <row r="61" spans="1:17" s="5" customFormat="1" ht="20.100000000000001" customHeight="1" x14ac:dyDescent="0.2">
      <c r="A61" s="21"/>
      <c r="B61" s="21"/>
      <c r="C61" s="5" t="s">
        <v>23</v>
      </c>
    </row>
    <row r="62" spans="1:17" s="5" customFormat="1" ht="20.100000000000001" customHeight="1" x14ac:dyDescent="0.2">
      <c r="A62" s="22"/>
      <c r="B62" s="22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9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30"/>
      <c r="B65" s="4" t="s">
        <v>132</v>
      </c>
      <c r="C65" s="4" t="s">
        <v>135</v>
      </c>
    </row>
    <row r="66" spans="1:3" s="4" customFormat="1" ht="20.100000000000001" customHeight="1" x14ac:dyDescent="0.2">
      <c r="A66" s="30"/>
      <c r="B66" s="4" t="s">
        <v>133</v>
      </c>
      <c r="C66" s="4" t="s">
        <v>135</v>
      </c>
    </row>
    <row r="67" spans="1:3" s="5" customFormat="1" ht="20.100000000000001" customHeight="1" x14ac:dyDescent="0.2">
      <c r="A67" s="31"/>
      <c r="B67" s="5" t="s">
        <v>134</v>
      </c>
      <c r="C67" s="5" t="s">
        <v>135</v>
      </c>
    </row>
  </sheetData>
  <mergeCells count="17"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  <mergeCell ref="A64:A67"/>
    <mergeCell ref="B44:B46"/>
    <mergeCell ref="B48:B50"/>
    <mergeCell ref="A52:A62"/>
    <mergeCell ref="B52:B55"/>
    <mergeCell ref="B56:B58"/>
    <mergeCell ref="B60:B62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R67"/>
  <sheetViews>
    <sheetView workbookViewId="0">
      <pane xSplit="3" ySplit="4" topLeftCell="D44" activePane="bottomRight" state="frozen"/>
      <selection pane="topRight" activeCell="D1" sqref="D1"/>
      <selection pane="bottomLeft" activeCell="A5" sqref="A5"/>
      <selection pane="bottomRight" activeCell="F67" sqref="F67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1" customFormat="1" ht="20.100000000000001" customHeight="1" x14ac:dyDescent="0.2">
      <c r="A5" s="1"/>
      <c r="B5" s="1"/>
      <c r="C5" s="1" t="s">
        <v>124</v>
      </c>
      <c r="D5" s="1">
        <v>4</v>
      </c>
      <c r="E5" s="1">
        <v>4</v>
      </c>
      <c r="F5" s="1">
        <v>3</v>
      </c>
      <c r="G5" s="1">
        <v>4</v>
      </c>
      <c r="H5" s="1">
        <v>4</v>
      </c>
      <c r="I5" s="1">
        <v>4</v>
      </c>
      <c r="J5" s="1">
        <v>4</v>
      </c>
      <c r="K5" s="1">
        <v>4</v>
      </c>
      <c r="L5" s="1">
        <v>4</v>
      </c>
      <c r="M5" s="1">
        <v>4</v>
      </c>
      <c r="N5" s="1">
        <v>4</v>
      </c>
      <c r="O5" s="1">
        <v>4</v>
      </c>
    </row>
    <row r="6" spans="1:15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2</v>
      </c>
      <c r="H6" s="1">
        <v>2</v>
      </c>
      <c r="I6" s="1">
        <v>3</v>
      </c>
      <c r="J6" s="1">
        <v>3</v>
      </c>
      <c r="K6" s="1">
        <v>4</v>
      </c>
      <c r="L6" s="1">
        <v>4</v>
      </c>
      <c r="M6" s="1">
        <v>5</v>
      </c>
      <c r="N6" s="1">
        <v>5</v>
      </c>
      <c r="O6" s="1">
        <v>5</v>
      </c>
    </row>
    <row r="7" spans="1:15" s="3" customFormat="1" ht="20.100000000000001" customHeight="1" x14ac:dyDescent="0.2">
      <c r="A7" s="19" t="s">
        <v>137</v>
      </c>
      <c r="B7" s="17" t="s">
        <v>24</v>
      </c>
      <c r="C7" s="3" t="s">
        <v>6</v>
      </c>
      <c r="D7" s="3">
        <v>17</v>
      </c>
    </row>
    <row r="8" spans="1:15" s="3" customFormat="1" ht="20.100000000000001" customHeight="1" x14ac:dyDescent="0.2">
      <c r="A8" s="19"/>
      <c r="B8" s="17"/>
      <c r="C8" s="3" t="s">
        <v>7</v>
      </c>
      <c r="D8" s="3">
        <v>200</v>
      </c>
    </row>
    <row r="9" spans="1:15" s="3" customFormat="1" ht="20.100000000000001" customHeight="1" x14ac:dyDescent="0.2">
      <c r="A9" s="19"/>
      <c r="B9" s="17"/>
      <c r="C9" s="3" t="s">
        <v>8</v>
      </c>
      <c r="D9" s="3">
        <v>6</v>
      </c>
    </row>
    <row r="10" spans="1:15" s="3" customFormat="1" ht="20.100000000000001" customHeight="1" x14ac:dyDescent="0.2">
      <c r="A10" s="19"/>
      <c r="B10" s="17"/>
      <c r="C10" s="3" t="s">
        <v>9</v>
      </c>
      <c r="D10" s="3" t="s">
        <v>27</v>
      </c>
    </row>
    <row r="11" spans="1:15" s="3" customFormat="1" ht="20.100000000000001" customHeight="1" x14ac:dyDescent="0.2">
      <c r="A11" s="19"/>
      <c r="B11" s="17" t="s">
        <v>30</v>
      </c>
      <c r="C11" s="3">
        <v>1</v>
      </c>
    </row>
    <row r="12" spans="1:15" s="3" customFormat="1" ht="20.100000000000001" customHeight="1" x14ac:dyDescent="0.2">
      <c r="A12" s="19"/>
      <c r="B12" s="17"/>
      <c r="C12" s="3">
        <v>2</v>
      </c>
    </row>
    <row r="13" spans="1:15" s="3" customFormat="1" ht="20.100000000000001" customHeight="1" x14ac:dyDescent="0.2">
      <c r="A13" s="19"/>
      <c r="B13" s="17"/>
      <c r="C13" s="3">
        <v>3</v>
      </c>
    </row>
    <row r="14" spans="1:15" s="2" customFormat="1" ht="20.100000000000001" customHeight="1" x14ac:dyDescent="0.2">
      <c r="A14" s="19"/>
    </row>
    <row r="15" spans="1:15" s="3" customFormat="1" ht="20.100000000000001" customHeight="1" x14ac:dyDescent="0.2">
      <c r="A15" s="19"/>
      <c r="B15" s="23" t="s">
        <v>1</v>
      </c>
      <c r="C15" s="3" t="s">
        <v>2</v>
      </c>
      <c r="D15" s="3">
        <v>0</v>
      </c>
    </row>
    <row r="16" spans="1:15" s="3" customFormat="1" ht="20.100000000000001" customHeight="1" x14ac:dyDescent="0.2">
      <c r="A16" s="19"/>
      <c r="B16" s="24"/>
      <c r="C16" s="3" t="s">
        <v>3</v>
      </c>
      <c r="D16" s="3">
        <v>0.3</v>
      </c>
    </row>
    <row r="17" spans="1:6" s="3" customFormat="1" ht="20.100000000000001" customHeight="1" x14ac:dyDescent="0.2">
      <c r="A17" s="19"/>
      <c r="B17" s="24"/>
      <c r="C17" s="3" t="s">
        <v>4</v>
      </c>
      <c r="D17" s="3">
        <v>0.05</v>
      </c>
    </row>
    <row r="18" spans="1:6" s="3" customFormat="1" ht="20.100000000000001" customHeight="1" x14ac:dyDescent="0.2">
      <c r="A18" s="19"/>
      <c r="B18" s="25"/>
      <c r="C18" s="3" t="s">
        <v>5</v>
      </c>
      <c r="D18" s="3">
        <v>0</v>
      </c>
    </row>
    <row r="19" spans="1:6" s="2" customFormat="1" ht="20.100000000000001" customHeight="1" x14ac:dyDescent="0.2">
      <c r="B19" s="10"/>
      <c r="C19" s="10"/>
      <c r="D19" s="10"/>
      <c r="E19" s="10"/>
      <c r="F19" s="39"/>
    </row>
    <row r="20" spans="1:6" s="4" customFormat="1" ht="20.100000000000001" customHeight="1" x14ac:dyDescent="0.2">
      <c r="A20" s="20" t="s">
        <v>131</v>
      </c>
      <c r="B20" s="38" t="s">
        <v>12</v>
      </c>
      <c r="C20" s="4" t="s">
        <v>13</v>
      </c>
    </row>
    <row r="21" spans="1:6" s="4" customFormat="1" ht="20.100000000000001" customHeight="1" x14ac:dyDescent="0.2">
      <c r="A21" s="20"/>
      <c r="B21" s="38"/>
      <c r="C21" s="4" t="s">
        <v>7</v>
      </c>
    </row>
    <row r="22" spans="1:6" s="4" customFormat="1" ht="20.100000000000001" customHeight="1" x14ac:dyDescent="0.2">
      <c r="A22" s="20"/>
      <c r="B22" s="38"/>
      <c r="C22" s="4" t="s">
        <v>14</v>
      </c>
    </row>
    <row r="23" spans="1:6" s="4" customFormat="1" ht="20.100000000000001" customHeight="1" x14ac:dyDescent="0.2">
      <c r="A23" s="20"/>
      <c r="B23" s="38"/>
      <c r="C23" s="4" t="s">
        <v>15</v>
      </c>
    </row>
    <row r="24" spans="1:6" s="2" customFormat="1" ht="20.100000000000001" customHeight="1" x14ac:dyDescent="0.2">
      <c r="A24" s="20"/>
      <c r="B24" s="12"/>
      <c r="C24" s="10"/>
      <c r="D24" s="10"/>
      <c r="E24" s="10"/>
      <c r="F24" s="39"/>
    </row>
    <row r="25" spans="1:6" s="4" customFormat="1" ht="20.100000000000001" customHeight="1" x14ac:dyDescent="0.2">
      <c r="A25" s="20"/>
      <c r="B25" s="38" t="s">
        <v>16</v>
      </c>
      <c r="C25" s="4" t="s">
        <v>13</v>
      </c>
    </row>
    <row r="26" spans="1:6" s="4" customFormat="1" ht="20.100000000000001" customHeight="1" x14ac:dyDescent="0.2">
      <c r="A26" s="20"/>
      <c r="B26" s="38"/>
      <c r="C26" s="4" t="s">
        <v>7</v>
      </c>
    </row>
    <row r="27" spans="1:6" s="4" customFormat="1" ht="20.100000000000001" customHeight="1" x14ac:dyDescent="0.2">
      <c r="A27" s="20"/>
      <c r="B27" s="38"/>
      <c r="C27" s="4" t="s">
        <v>14</v>
      </c>
    </row>
    <row r="28" spans="1:6" s="4" customFormat="1" ht="20.100000000000001" customHeight="1" x14ac:dyDescent="0.2">
      <c r="A28" s="20"/>
      <c r="B28" s="38"/>
      <c r="C28" s="4" t="s">
        <v>15</v>
      </c>
    </row>
    <row r="29" spans="1:6" s="2" customFormat="1" ht="20.100000000000001" customHeight="1" x14ac:dyDescent="0.2">
      <c r="A29" s="20"/>
      <c r="B29" s="13"/>
      <c r="C29" s="9"/>
      <c r="D29" s="9"/>
      <c r="E29" s="9"/>
      <c r="F29" s="39"/>
    </row>
    <row r="30" spans="1:6" s="4" customFormat="1" ht="20.100000000000001" customHeight="1" x14ac:dyDescent="0.2">
      <c r="A30" s="20"/>
      <c r="B30" s="35" t="s">
        <v>17</v>
      </c>
      <c r="C30" s="4" t="s">
        <v>13</v>
      </c>
    </row>
    <row r="31" spans="1:6" s="4" customFormat="1" ht="20.100000000000001" customHeight="1" x14ac:dyDescent="0.2">
      <c r="A31" s="20"/>
      <c r="B31" s="36"/>
      <c r="C31" s="4" t="s">
        <v>7</v>
      </c>
    </row>
    <row r="32" spans="1:6" s="4" customFormat="1" ht="20.100000000000001" customHeight="1" x14ac:dyDescent="0.2">
      <c r="A32" s="20"/>
      <c r="B32" s="36"/>
      <c r="C32" s="4" t="s">
        <v>14</v>
      </c>
    </row>
    <row r="33" spans="1:18" s="4" customFormat="1" ht="20.100000000000001" customHeight="1" x14ac:dyDescent="0.2">
      <c r="A33" s="20"/>
      <c r="B33" s="37"/>
      <c r="C33" s="4" t="s">
        <v>15</v>
      </c>
    </row>
    <row r="34" spans="1:18" s="2" customFormat="1" ht="20.100000000000001" customHeight="1" x14ac:dyDescent="0.2">
      <c r="A34" s="20"/>
      <c r="B34" s="14"/>
      <c r="C34" s="1"/>
      <c r="D34" s="1"/>
      <c r="E34" s="1"/>
      <c r="F34" s="39"/>
    </row>
    <row r="35" spans="1:18" s="4" customFormat="1" ht="20.100000000000001" customHeight="1" x14ac:dyDescent="0.2">
      <c r="A35" s="20"/>
      <c r="B35" s="35" t="s">
        <v>18</v>
      </c>
      <c r="C35" s="4" t="s">
        <v>13</v>
      </c>
    </row>
    <row r="36" spans="1:18" s="4" customFormat="1" ht="20.100000000000001" customHeight="1" x14ac:dyDescent="0.2">
      <c r="A36" s="20"/>
      <c r="B36" s="36"/>
      <c r="C36" s="4" t="s">
        <v>7</v>
      </c>
    </row>
    <row r="37" spans="1:18" s="4" customFormat="1" ht="20.100000000000001" customHeight="1" x14ac:dyDescent="0.2">
      <c r="A37" s="20"/>
      <c r="B37" s="36"/>
      <c r="C37" s="4" t="s">
        <v>14</v>
      </c>
    </row>
    <row r="38" spans="1:18" s="4" customFormat="1" ht="20.100000000000001" customHeight="1" x14ac:dyDescent="0.2">
      <c r="A38" s="20"/>
      <c r="B38" s="37"/>
      <c r="C38" s="4" t="s">
        <v>15</v>
      </c>
    </row>
    <row r="39" spans="1:18" s="2" customFormat="1" ht="20.100000000000001" customHeight="1" x14ac:dyDescent="0.2">
      <c r="A39" s="20"/>
      <c r="B39" s="14"/>
      <c r="C39" s="1"/>
      <c r="D39" s="1"/>
      <c r="E39" s="1"/>
      <c r="F39" s="39"/>
    </row>
    <row r="40" spans="1:18" s="4" customFormat="1" ht="20.100000000000001" customHeight="1" x14ac:dyDescent="0.2">
      <c r="A40" s="20"/>
      <c r="B40" s="35" t="s">
        <v>19</v>
      </c>
      <c r="C40" s="4" t="s">
        <v>7</v>
      </c>
    </row>
    <row r="41" spans="1:18" s="4" customFormat="1" ht="20.100000000000001" customHeight="1" x14ac:dyDescent="0.2">
      <c r="A41" s="20"/>
      <c r="B41" s="36"/>
      <c r="C41" s="4" t="s">
        <v>14</v>
      </c>
    </row>
    <row r="42" spans="1:18" s="4" customFormat="1" ht="20.100000000000001" customHeight="1" x14ac:dyDescent="0.2">
      <c r="A42" s="20"/>
      <c r="B42" s="37"/>
      <c r="C42" s="4" t="s">
        <v>15</v>
      </c>
    </row>
    <row r="43" spans="1:18" s="2" customFormat="1" ht="20.100000000000001" customHeight="1" x14ac:dyDescent="0.2">
      <c r="A43" s="20"/>
      <c r="D43" s="7"/>
      <c r="E43" s="7"/>
      <c r="F43" s="40"/>
    </row>
    <row r="44" spans="1:18" s="4" customFormat="1" ht="20.100000000000001" customHeight="1" x14ac:dyDescent="0.2">
      <c r="A44" s="20"/>
      <c r="B44" s="35" t="s">
        <v>30</v>
      </c>
      <c r="C44" s="4">
        <v>1</v>
      </c>
    </row>
    <row r="45" spans="1:18" s="4" customFormat="1" ht="20.100000000000001" customHeight="1" x14ac:dyDescent="0.2">
      <c r="A45" s="20"/>
      <c r="B45" s="36"/>
      <c r="C45" s="4">
        <v>2</v>
      </c>
    </row>
    <row r="46" spans="1:18" s="4" customFormat="1" ht="20.100000000000001" customHeight="1" x14ac:dyDescent="0.2">
      <c r="A46" s="20"/>
      <c r="B46" s="37"/>
      <c r="C46" s="4">
        <v>3</v>
      </c>
    </row>
    <row r="47" spans="1:18" s="2" customFormat="1" ht="20.100000000000001" customHeight="1" x14ac:dyDescent="0.2">
      <c r="A47" s="20"/>
      <c r="B47" s="15"/>
      <c r="C47" s="7"/>
      <c r="D47" s="8"/>
      <c r="E47" s="8"/>
      <c r="F47" s="39"/>
    </row>
    <row r="48" spans="1:18" s="4" customFormat="1" ht="20.100000000000001" customHeight="1" x14ac:dyDescent="0.2">
      <c r="A48" s="20"/>
      <c r="B48" s="35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0"/>
      <c r="B49" s="36"/>
      <c r="C49" s="4" t="s">
        <v>129</v>
      </c>
      <c r="D49" s="4">
        <f t="shared" ref="D49:R49" si="1">D22+D27+D32+D37+D41</f>
        <v>0</v>
      </c>
      <c r="E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0"/>
      <c r="B50" s="37"/>
      <c r="C50" s="4" t="s">
        <v>130</v>
      </c>
      <c r="D50" s="4">
        <f>D48*(1+D49*0.02)</f>
        <v>0</v>
      </c>
      <c r="E50" s="4">
        <f>E48*(1+E49*0.02)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4" t="s">
        <v>136</v>
      </c>
      <c r="B52" s="34" t="s">
        <v>20</v>
      </c>
      <c r="C52" s="5" t="s">
        <v>21</v>
      </c>
    </row>
    <row r="53" spans="1:18" s="5" customFormat="1" ht="20.100000000000001" customHeight="1" x14ac:dyDescent="0.2">
      <c r="A53" s="21"/>
      <c r="B53" s="21"/>
      <c r="C53" s="5" t="s">
        <v>7</v>
      </c>
    </row>
    <row r="54" spans="1:18" s="5" customFormat="1" ht="20.100000000000001" customHeight="1" x14ac:dyDescent="0.2">
      <c r="A54" s="21"/>
      <c r="B54" s="21"/>
      <c r="C54" s="5" t="s">
        <v>22</v>
      </c>
    </row>
    <row r="55" spans="1:18" s="5" customFormat="1" ht="20.100000000000001" customHeight="1" x14ac:dyDescent="0.2">
      <c r="A55" s="21"/>
      <c r="B55" s="22"/>
      <c r="C55" s="5" t="s">
        <v>23</v>
      </c>
    </row>
    <row r="56" spans="1:18" s="5" customFormat="1" ht="20.100000000000001" customHeight="1" x14ac:dyDescent="0.2">
      <c r="A56" s="21"/>
      <c r="B56" s="34" t="s">
        <v>30</v>
      </c>
      <c r="C56" s="5">
        <v>1</v>
      </c>
    </row>
    <row r="57" spans="1:18" s="5" customFormat="1" ht="20.100000000000001" customHeight="1" x14ac:dyDescent="0.2">
      <c r="A57" s="21"/>
      <c r="B57" s="21"/>
      <c r="C57" s="5">
        <v>2</v>
      </c>
    </row>
    <row r="58" spans="1:18" s="5" customFormat="1" ht="20.100000000000001" customHeight="1" x14ac:dyDescent="0.2">
      <c r="A58" s="21"/>
      <c r="B58" s="22"/>
      <c r="C58" s="5">
        <v>3</v>
      </c>
    </row>
    <row r="59" spans="1:18" s="2" customFormat="1" ht="20.100000000000001" customHeight="1" x14ac:dyDescent="0.2">
      <c r="A59" s="21"/>
      <c r="B59" s="9"/>
      <c r="C59" s="9"/>
      <c r="D59" s="9"/>
      <c r="E59" s="9"/>
      <c r="F59" s="39"/>
    </row>
    <row r="60" spans="1:18" s="5" customFormat="1" ht="20.100000000000001" customHeight="1" x14ac:dyDescent="0.2">
      <c r="A60" s="21"/>
      <c r="B60" s="34" t="s">
        <v>25</v>
      </c>
      <c r="C60" s="5" t="s">
        <v>2</v>
      </c>
    </row>
    <row r="61" spans="1:18" s="5" customFormat="1" ht="20.100000000000001" customHeight="1" x14ac:dyDescent="0.2">
      <c r="A61" s="21"/>
      <c r="B61" s="21"/>
      <c r="C61" s="5" t="s">
        <v>23</v>
      </c>
    </row>
    <row r="62" spans="1:18" s="5" customFormat="1" ht="20.100000000000001" customHeight="1" x14ac:dyDescent="0.2">
      <c r="A62" s="22"/>
      <c r="B62" s="22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29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30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30"/>
      <c r="B66" s="4" t="s">
        <v>133</v>
      </c>
      <c r="C66" s="4" t="s">
        <v>135</v>
      </c>
      <c r="F66" s="4">
        <v>1</v>
      </c>
    </row>
    <row r="67" spans="1:6" s="5" customFormat="1" ht="20.100000000000001" customHeight="1" x14ac:dyDescent="0.2">
      <c r="A67" s="31"/>
      <c r="B67" s="5" t="s">
        <v>134</v>
      </c>
      <c r="C67" s="5" t="s">
        <v>135</v>
      </c>
      <c r="F67" s="5">
        <v>0</v>
      </c>
    </row>
  </sheetData>
  <mergeCells count="17"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tabSelected="1" workbookViewId="0">
      <pane xSplit="3" ySplit="4" topLeftCell="G5" activePane="bottomRight" state="frozen"/>
      <selection pane="topRight" activeCell="D1" sqref="D1"/>
      <selection pane="bottomLeft" activeCell="A5" sqref="A5"/>
      <selection pane="bottomRight" activeCell="K17" sqref="K17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5</v>
      </c>
      <c r="L7" s="1">
        <v>5</v>
      </c>
      <c r="M7" s="1">
        <v>5</v>
      </c>
      <c r="N7" s="1">
        <v>5</v>
      </c>
      <c r="O7" s="1">
        <v>5</v>
      </c>
      <c r="P7" s="1">
        <v>5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3</v>
      </c>
      <c r="M8" s="1">
        <v>3</v>
      </c>
      <c r="N8" s="1">
        <v>3</v>
      </c>
      <c r="O8" s="1">
        <v>3</v>
      </c>
      <c r="P8" s="1">
        <v>3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19" t="s">
        <v>137</v>
      </c>
      <c r="B9" s="17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250</v>
      </c>
      <c r="L9" s="3">
        <v>270</v>
      </c>
      <c r="M9" s="3">
        <v>290</v>
      </c>
      <c r="N9" s="3">
        <v>275</v>
      </c>
      <c r="O9" s="3">
        <v>280</v>
      </c>
      <c r="P9" s="3">
        <v>290</v>
      </c>
      <c r="Q9" s="3">
        <v>295</v>
      </c>
      <c r="R9" s="3">
        <v>325</v>
      </c>
      <c r="S9" s="3">
        <v>350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19"/>
      <c r="B10" s="17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1500</v>
      </c>
      <c r="L10" s="3">
        <v>900</v>
      </c>
      <c r="M10" s="3">
        <v>1200</v>
      </c>
      <c r="N10" s="3">
        <v>1000</v>
      </c>
      <c r="O10" s="3">
        <v>900</v>
      </c>
      <c r="P10" s="3">
        <v>1500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19"/>
      <c r="B11" s="17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19"/>
      <c r="B12" s="17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19"/>
      <c r="B13" s="17" t="s">
        <v>30</v>
      </c>
      <c r="C13" s="3">
        <v>1</v>
      </c>
    </row>
    <row r="14" spans="1:27" s="3" customFormat="1" ht="20.100000000000001" customHeight="1" x14ac:dyDescent="0.2">
      <c r="A14" s="19"/>
      <c r="B14" s="17"/>
      <c r="C14" s="3">
        <v>2</v>
      </c>
    </row>
    <row r="15" spans="1:27" s="3" customFormat="1" ht="20.100000000000001" customHeight="1" x14ac:dyDescent="0.2">
      <c r="A15" s="19"/>
      <c r="B15" s="17"/>
      <c r="C15" s="3">
        <v>3</v>
      </c>
    </row>
    <row r="16" spans="1:27" s="2" customFormat="1" ht="20.100000000000001" customHeight="1" x14ac:dyDescent="0.2">
      <c r="A16" s="19"/>
    </row>
    <row r="17" spans="1:25" s="3" customFormat="1" ht="20.100000000000001" customHeight="1" x14ac:dyDescent="0.2">
      <c r="A17" s="19"/>
      <c r="B17" s="23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19"/>
      <c r="B18" s="24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0.8</v>
      </c>
      <c r="L18" s="3">
        <v>0.9</v>
      </c>
      <c r="M18" s="3">
        <v>0.8</v>
      </c>
      <c r="N18" s="3">
        <v>0.85</v>
      </c>
      <c r="O18" s="3">
        <v>0.9</v>
      </c>
      <c r="P18" s="3">
        <v>0.8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19"/>
      <c r="B19" s="24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19"/>
      <c r="B20" s="25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0.9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0" t="s">
        <v>131</v>
      </c>
      <c r="B22" s="38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13</v>
      </c>
      <c r="L22" s="4">
        <v>13</v>
      </c>
      <c r="M22" s="4">
        <v>13</v>
      </c>
      <c r="N22" s="4">
        <v>13</v>
      </c>
      <c r="O22" s="4">
        <v>13</v>
      </c>
      <c r="P22" s="4">
        <v>13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0"/>
      <c r="B23" s="38"/>
      <c r="C23" s="4" t="s">
        <v>7</v>
      </c>
      <c r="D23" s="4">
        <f>0.7*D28</f>
        <v>909.99999999999989</v>
      </c>
      <c r="E23" s="4">
        <f>0.7*E28</f>
        <v>560</v>
      </c>
      <c r="F23" s="4" t="e">
        <f>0.7*F28</f>
        <v>#VALUE!</v>
      </c>
      <c r="G23" s="4">
        <f>0.7*G28</f>
        <v>350</v>
      </c>
      <c r="H23" s="4">
        <f>0.7*H28</f>
        <v>630</v>
      </c>
      <c r="I23" s="4">
        <f>0.7*I28</f>
        <v>350</v>
      </c>
      <c r="J23" s="4">
        <f>0.7*J28</f>
        <v>840</v>
      </c>
      <c r="K23" s="4">
        <f>0.7*K28</f>
        <v>1050</v>
      </c>
      <c r="L23" s="4">
        <f>0.7*L28</f>
        <v>630</v>
      </c>
      <c r="M23" s="4">
        <f>0.7*M28</f>
        <v>840</v>
      </c>
      <c r="N23" s="4">
        <f>0.7*N28</f>
        <v>700</v>
      </c>
      <c r="O23" s="4">
        <f>0.7*O28</f>
        <v>630</v>
      </c>
      <c r="P23" s="4">
        <f>0.7*P28</f>
        <v>1050</v>
      </c>
      <c r="Q23" s="4">
        <f>0.7*Q28</f>
        <v>560</v>
      </c>
      <c r="R23" s="4">
        <f>0.7*R28</f>
        <v>665</v>
      </c>
      <c r="S23" s="4">
        <f>0.7*S28</f>
        <v>735</v>
      </c>
      <c r="T23" s="4">
        <f>0.7*T28</f>
        <v>1400</v>
      </c>
      <c r="U23" s="4">
        <f>0.7*U28</f>
        <v>1085</v>
      </c>
      <c r="V23" s="4">
        <f>0.7*V28</f>
        <v>979.99999999999989</v>
      </c>
      <c r="W23" s="4">
        <f>0.7*W28</f>
        <v>700</v>
      </c>
      <c r="X23" s="4">
        <f>0.7*X28</f>
        <v>770</v>
      </c>
      <c r="Y23" s="4">
        <f>0.7*Y28</f>
        <v>1470</v>
      </c>
    </row>
    <row r="24" spans="1:25" s="4" customFormat="1" ht="20.100000000000001" customHeight="1" x14ac:dyDescent="0.2">
      <c r="A24" s="20"/>
      <c r="B24" s="38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6</v>
      </c>
      <c r="L24" s="4">
        <v>7</v>
      </c>
      <c r="M24" s="4">
        <v>7</v>
      </c>
      <c r="N24" s="4">
        <v>7</v>
      </c>
      <c r="O24" s="4">
        <v>7</v>
      </c>
      <c r="P24" s="4">
        <v>7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0"/>
      <c r="B25" s="38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0"/>
      <c r="B26" s="12"/>
      <c r="C26" s="10"/>
      <c r="D26" s="10"/>
      <c r="E26" s="10"/>
    </row>
    <row r="27" spans="1:25" s="4" customFormat="1" ht="20.100000000000001" customHeight="1" x14ac:dyDescent="0.2">
      <c r="A27" s="20"/>
      <c r="B27" s="38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20</v>
      </c>
      <c r="L27" s="4">
        <v>20</v>
      </c>
      <c r="M27" s="4">
        <v>20</v>
      </c>
      <c r="N27" s="4">
        <v>20</v>
      </c>
      <c r="O27" s="4">
        <v>20</v>
      </c>
      <c r="P27" s="4">
        <v>20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0"/>
      <c r="B28" s="38"/>
      <c r="C28" s="4" t="s">
        <v>7</v>
      </c>
      <c r="D28" s="4">
        <f>D10</f>
        <v>1300</v>
      </c>
      <c r="E28" s="4">
        <f>E10</f>
        <v>800</v>
      </c>
      <c r="F28" s="4" t="str">
        <f>F10</f>
        <v>null</v>
      </c>
      <c r="G28" s="4">
        <f>G10</f>
        <v>500</v>
      </c>
      <c r="H28" s="4">
        <f>H10</f>
        <v>900</v>
      </c>
      <c r="I28" s="4">
        <f>I10</f>
        <v>500</v>
      </c>
      <c r="J28" s="4">
        <f>J10</f>
        <v>1200</v>
      </c>
      <c r="K28" s="4">
        <f>K10</f>
        <v>1500</v>
      </c>
      <c r="L28" s="4">
        <f>L10</f>
        <v>900</v>
      </c>
      <c r="M28" s="4">
        <f>M10</f>
        <v>1200</v>
      </c>
      <c r="N28" s="4">
        <f>N10</f>
        <v>1000</v>
      </c>
      <c r="O28" s="4">
        <f>O10</f>
        <v>900</v>
      </c>
      <c r="P28" s="4">
        <f>P10</f>
        <v>1500</v>
      </c>
      <c r="Q28" s="4">
        <f>Q10</f>
        <v>800</v>
      </c>
      <c r="R28" s="4">
        <f>R10</f>
        <v>950</v>
      </c>
      <c r="S28" s="4">
        <f>S10</f>
        <v>1050</v>
      </c>
      <c r="T28" s="4">
        <f>T10</f>
        <v>2000</v>
      </c>
      <c r="U28" s="4">
        <f>U10</f>
        <v>1550</v>
      </c>
      <c r="V28" s="4">
        <f>V10</f>
        <v>1400</v>
      </c>
      <c r="W28" s="4">
        <f>W10</f>
        <v>1000</v>
      </c>
      <c r="X28" s="4">
        <f>X10</f>
        <v>1100</v>
      </c>
      <c r="Y28" s="4">
        <f>Y10</f>
        <v>2100</v>
      </c>
    </row>
    <row r="29" spans="1:25" s="4" customFormat="1" ht="20.100000000000001" customHeight="1" x14ac:dyDescent="0.2">
      <c r="A29" s="20"/>
      <c r="B29" s="38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6</v>
      </c>
      <c r="L29" s="4">
        <v>7</v>
      </c>
      <c r="M29" s="4">
        <v>7</v>
      </c>
      <c r="N29" s="4">
        <v>7</v>
      </c>
      <c r="O29" s="4">
        <v>8</v>
      </c>
      <c r="P29" s="4">
        <v>8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0"/>
      <c r="B30" s="38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0"/>
      <c r="B31" s="13"/>
      <c r="C31" s="9"/>
      <c r="D31" s="9"/>
      <c r="E31" s="9"/>
    </row>
    <row r="32" spans="1:25" s="4" customFormat="1" ht="20.100000000000001" customHeight="1" x14ac:dyDescent="0.2">
      <c r="A32" s="20"/>
      <c r="B32" s="35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19</v>
      </c>
      <c r="L32" s="4">
        <v>18</v>
      </c>
      <c r="M32" s="4">
        <v>18</v>
      </c>
      <c r="N32" s="4">
        <v>18</v>
      </c>
      <c r="O32" s="4">
        <v>18</v>
      </c>
      <c r="P32" s="4">
        <v>18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0"/>
      <c r="B33" s="36"/>
      <c r="C33" s="4" t="s">
        <v>7</v>
      </c>
      <c r="D33" s="4">
        <f>0.9*D28</f>
        <v>1170</v>
      </c>
      <c r="E33" s="4">
        <f>0.9*E28</f>
        <v>720</v>
      </c>
      <c r="F33" s="4" t="e">
        <f>0.9*F28</f>
        <v>#VALUE!</v>
      </c>
      <c r="G33" s="4">
        <f>0.9*G28</f>
        <v>450</v>
      </c>
      <c r="H33" s="4">
        <f>0.9*H28</f>
        <v>810</v>
      </c>
      <c r="I33" s="4">
        <f>0.9*I28</f>
        <v>450</v>
      </c>
      <c r="J33" s="4">
        <f>0.9*J28</f>
        <v>1080</v>
      </c>
      <c r="K33" s="4">
        <f>0.9*K28</f>
        <v>1350</v>
      </c>
      <c r="L33" s="4">
        <f>0.9*L28</f>
        <v>810</v>
      </c>
      <c r="M33" s="4">
        <f>0.9*M28</f>
        <v>1080</v>
      </c>
      <c r="N33" s="4">
        <f>0.9*N28</f>
        <v>900</v>
      </c>
      <c r="O33" s="4">
        <f>0.9*O28</f>
        <v>810</v>
      </c>
      <c r="P33" s="4">
        <f>0.9*P28</f>
        <v>1350</v>
      </c>
      <c r="Q33" s="4">
        <f>0.9*Q28</f>
        <v>720</v>
      </c>
      <c r="R33" s="4">
        <f>0.9*R28</f>
        <v>855</v>
      </c>
      <c r="S33" s="4">
        <f>0.9*S28</f>
        <v>945</v>
      </c>
      <c r="T33" s="4">
        <f>0.9*T28</f>
        <v>1800</v>
      </c>
      <c r="U33" s="4">
        <f>0.9*U28</f>
        <v>1395</v>
      </c>
      <c r="V33" s="4">
        <f>0.9*V28</f>
        <v>1260</v>
      </c>
      <c r="W33" s="4">
        <f>0.9*W28</f>
        <v>900</v>
      </c>
      <c r="X33" s="4">
        <f>0.9*X28</f>
        <v>990</v>
      </c>
      <c r="Y33" s="4">
        <f>0.9*Y28</f>
        <v>1890</v>
      </c>
    </row>
    <row r="34" spans="1:25" s="4" customFormat="1" ht="20.100000000000001" customHeight="1" x14ac:dyDescent="0.2">
      <c r="A34" s="20"/>
      <c r="B34" s="36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6</v>
      </c>
      <c r="L34" s="4">
        <v>0.15</v>
      </c>
      <c r="M34" s="4">
        <v>0.15</v>
      </c>
      <c r="N34" s="4">
        <v>0.15</v>
      </c>
      <c r="O34" s="4">
        <v>0.15</v>
      </c>
      <c r="P34" s="4">
        <v>0.15</v>
      </c>
      <c r="Q34" s="4">
        <v>0.15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0"/>
      <c r="B35" s="37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0"/>
      <c r="B36" s="14"/>
      <c r="C36" s="1"/>
      <c r="D36" s="1"/>
      <c r="E36" s="1"/>
    </row>
    <row r="37" spans="1:25" s="4" customFormat="1" ht="20.100000000000001" customHeight="1" x14ac:dyDescent="0.2">
      <c r="A37" s="20"/>
      <c r="B37" s="35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10</v>
      </c>
      <c r="L37" s="4">
        <v>10</v>
      </c>
      <c r="M37" s="4">
        <v>10</v>
      </c>
      <c r="N37" s="4">
        <v>10</v>
      </c>
      <c r="O37" s="4">
        <v>10</v>
      </c>
      <c r="P37" s="4">
        <v>10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0"/>
      <c r="B38" s="36"/>
      <c r="C38" s="4" t="s">
        <v>7</v>
      </c>
      <c r="D38" s="4">
        <f>0.6*D28</f>
        <v>780</v>
      </c>
      <c r="E38" s="4">
        <f>0.6*E28</f>
        <v>480</v>
      </c>
      <c r="F38" s="4" t="e">
        <f>0.6*F28</f>
        <v>#VALUE!</v>
      </c>
      <c r="G38" s="4">
        <f>0.6*G28</f>
        <v>300</v>
      </c>
      <c r="H38" s="4">
        <f>0.6*H28</f>
        <v>540</v>
      </c>
      <c r="I38" s="4">
        <f>0.6*I28</f>
        <v>300</v>
      </c>
      <c r="J38" s="4">
        <f>0.6*J28</f>
        <v>720</v>
      </c>
      <c r="K38" s="4">
        <f>0.6*K28</f>
        <v>900</v>
      </c>
      <c r="L38" s="4">
        <f>0.6*L28</f>
        <v>540</v>
      </c>
      <c r="M38" s="4">
        <f>0.6*M28</f>
        <v>720</v>
      </c>
      <c r="N38" s="4">
        <f>0.6*N28</f>
        <v>600</v>
      </c>
      <c r="O38" s="4">
        <f>0.6*O28</f>
        <v>540</v>
      </c>
      <c r="P38" s="4">
        <f>0.6*P28</f>
        <v>900</v>
      </c>
      <c r="Q38" s="4">
        <f>0.6*Q28</f>
        <v>480</v>
      </c>
      <c r="R38" s="4">
        <f>0.6*R28</f>
        <v>570</v>
      </c>
      <c r="S38" s="4">
        <f>0.6*S28</f>
        <v>630</v>
      </c>
      <c r="T38" s="4">
        <f>0.6*T28</f>
        <v>1200</v>
      </c>
      <c r="U38" s="4">
        <f>0.6*U28</f>
        <v>930</v>
      </c>
      <c r="V38" s="4">
        <f>0.6*V28</f>
        <v>840</v>
      </c>
      <c r="W38" s="4">
        <f>0.6*W28</f>
        <v>600</v>
      </c>
      <c r="X38" s="4">
        <f>0.6*X28</f>
        <v>660</v>
      </c>
      <c r="Y38" s="4">
        <f>0.6*Y28</f>
        <v>1260</v>
      </c>
    </row>
    <row r="39" spans="1:25" s="4" customFormat="1" ht="20.100000000000001" customHeight="1" x14ac:dyDescent="0.2">
      <c r="A39" s="20"/>
      <c r="B39" s="36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6</v>
      </c>
      <c r="L39" s="4">
        <v>7</v>
      </c>
      <c r="M39" s="4">
        <v>7</v>
      </c>
      <c r="N39" s="4">
        <v>7</v>
      </c>
      <c r="O39" s="4">
        <v>7</v>
      </c>
      <c r="P39" s="4">
        <v>7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0"/>
      <c r="B40" s="37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0"/>
      <c r="B41" s="14"/>
      <c r="C41" s="1"/>
      <c r="D41" s="1"/>
      <c r="E41" s="1"/>
    </row>
    <row r="42" spans="1:25" s="4" customFormat="1" ht="20.100000000000001" customHeight="1" x14ac:dyDescent="0.2">
      <c r="A42" s="20"/>
      <c r="B42" s="35" t="s">
        <v>19</v>
      </c>
      <c r="C42" s="4" t="s">
        <v>7</v>
      </c>
      <c r="D42" s="4">
        <f>0.9*D28</f>
        <v>1170</v>
      </c>
      <c r="E42" s="4">
        <f>0.9*E28</f>
        <v>720</v>
      </c>
      <c r="F42" s="4" t="e">
        <f>0.9*F28</f>
        <v>#VALUE!</v>
      </c>
      <c r="G42" s="4">
        <f>0.9*G28</f>
        <v>450</v>
      </c>
      <c r="H42" s="4">
        <f>0.9*H28</f>
        <v>810</v>
      </c>
      <c r="I42" s="4">
        <f>0.9*I28</f>
        <v>450</v>
      </c>
      <c r="J42" s="4">
        <f>0.9*J28</f>
        <v>1080</v>
      </c>
      <c r="K42" s="4">
        <f>0.9*K28</f>
        <v>1350</v>
      </c>
      <c r="L42" s="4">
        <f>0.9*L28</f>
        <v>810</v>
      </c>
      <c r="M42" s="4">
        <f>0.9*M28</f>
        <v>1080</v>
      </c>
      <c r="N42" s="4">
        <f>0.9*N28</f>
        <v>900</v>
      </c>
      <c r="O42" s="4">
        <f>0.9*O28</f>
        <v>810</v>
      </c>
      <c r="P42" s="4">
        <f>0.9*P28</f>
        <v>1350</v>
      </c>
      <c r="Q42" s="4">
        <f>0.9*Q28</f>
        <v>720</v>
      </c>
      <c r="R42" s="4">
        <f>0.9*R28</f>
        <v>855</v>
      </c>
      <c r="S42" s="4">
        <f>0.9*S28</f>
        <v>945</v>
      </c>
      <c r="T42" s="4">
        <f>0.9*T28</f>
        <v>1800</v>
      </c>
      <c r="U42" s="4">
        <f>0.9*U28</f>
        <v>1395</v>
      </c>
      <c r="V42" s="4">
        <f>0.9*V28</f>
        <v>1260</v>
      </c>
      <c r="W42" s="4">
        <f>0.9*W28</f>
        <v>900</v>
      </c>
      <c r="X42" s="4">
        <f>0.9*X28</f>
        <v>990</v>
      </c>
      <c r="Y42" s="4">
        <f>0.9*Y28</f>
        <v>1890</v>
      </c>
    </row>
    <row r="43" spans="1:25" s="4" customFormat="1" ht="20.100000000000001" customHeight="1" x14ac:dyDescent="0.2">
      <c r="A43" s="20"/>
      <c r="B43" s="36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7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0"/>
      <c r="B44" s="37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0"/>
      <c r="D45" s="7"/>
      <c r="E45" s="7"/>
    </row>
    <row r="46" spans="1:25" s="4" customFormat="1" ht="20.100000000000001" customHeight="1" x14ac:dyDescent="0.2">
      <c r="A46" s="20"/>
      <c r="B46" s="35" t="s">
        <v>30</v>
      </c>
      <c r="C46" s="4">
        <v>1</v>
      </c>
    </row>
    <row r="47" spans="1:25" s="4" customFormat="1" ht="20.100000000000001" customHeight="1" x14ac:dyDescent="0.2">
      <c r="A47" s="20"/>
      <c r="B47" s="36"/>
      <c r="C47" s="4">
        <v>2</v>
      </c>
    </row>
    <row r="48" spans="1:25" s="4" customFormat="1" ht="20.100000000000001" customHeight="1" x14ac:dyDescent="0.2">
      <c r="A48" s="20"/>
      <c r="B48" s="37"/>
      <c r="C48" s="4">
        <v>3</v>
      </c>
    </row>
    <row r="49" spans="1:25" s="2" customFormat="1" ht="20.100000000000001" customHeight="1" x14ac:dyDescent="0.2">
      <c r="A49" s="20"/>
      <c r="B49" s="15"/>
      <c r="C49" s="7"/>
      <c r="D49" s="8"/>
      <c r="E49" s="8"/>
    </row>
    <row r="50" spans="1:25" s="4" customFormat="1" ht="20.100000000000001" customHeight="1" x14ac:dyDescent="0.2">
      <c r="A50" s="20"/>
      <c r="B50" s="35" t="s">
        <v>28</v>
      </c>
      <c r="C50" s="4" t="s">
        <v>29</v>
      </c>
      <c r="D50" s="4">
        <f>D22+D27+D32+D37</f>
        <v>58</v>
      </c>
      <c r="E50" s="4">
        <f>E22+E27+E32+E37</f>
        <v>58</v>
      </c>
      <c r="F50" s="4" t="e">
        <f>F22+F27+F32+F37</f>
        <v>#VALUE!</v>
      </c>
      <c r="G50" s="4">
        <f>G22+G27+G32+G37</f>
        <v>27</v>
      </c>
      <c r="H50" s="4">
        <f>H22+H27+H32+H37</f>
        <v>60</v>
      </c>
      <c r="I50" s="4">
        <f>I22+I27+I32+I37</f>
        <v>26</v>
      </c>
      <c r="J50" s="4">
        <f>J22+J27+J32+J37</f>
        <v>61</v>
      </c>
      <c r="K50" s="4">
        <f>K22+K27+K32+K37</f>
        <v>62</v>
      </c>
      <c r="L50" s="4">
        <f>L22+L27+L32+L37</f>
        <v>61</v>
      </c>
      <c r="M50" s="4">
        <f>M22+M27+M32+M37</f>
        <v>61</v>
      </c>
      <c r="N50" s="4">
        <f>N22+N27+N32+N37</f>
        <v>61</v>
      </c>
      <c r="O50" s="4">
        <f>O22+O27+O32+O37</f>
        <v>61</v>
      </c>
      <c r="P50" s="4">
        <f>P22+P27+P32+P37</f>
        <v>61</v>
      </c>
      <c r="Q50" s="4">
        <f t="shared" ref="Q50:Y50" si="0">Q22+Q27+Q32+Q37</f>
        <v>66</v>
      </c>
      <c r="R50" s="4">
        <f t="shared" si="0"/>
        <v>70</v>
      </c>
      <c r="S50" s="4">
        <f t="shared" si="0"/>
        <v>70</v>
      </c>
      <c r="T50" s="4">
        <f t="shared" si="0"/>
        <v>74</v>
      </c>
      <c r="U50" s="4">
        <f t="shared" si="0"/>
        <v>70</v>
      </c>
      <c r="V50" s="4">
        <f t="shared" si="0"/>
        <v>72</v>
      </c>
      <c r="W50" s="4">
        <f t="shared" si="0"/>
        <v>72</v>
      </c>
      <c r="X50" s="4">
        <f t="shared" si="0"/>
        <v>72</v>
      </c>
      <c r="Y50" s="4">
        <f t="shared" si="0"/>
        <v>76</v>
      </c>
    </row>
    <row r="51" spans="1:25" s="4" customFormat="1" ht="20.100000000000001" customHeight="1" x14ac:dyDescent="0.2">
      <c r="A51" s="20"/>
      <c r="B51" s="36"/>
      <c r="C51" s="4" t="s">
        <v>129</v>
      </c>
      <c r="D51" s="4">
        <f>D24+D29+D34+D39+D43</f>
        <v>30</v>
      </c>
      <c r="E51" s="4">
        <f>E24+E29+E34+E39+E43</f>
        <v>30</v>
      </c>
      <c r="F51" s="4" t="e">
        <f>F24+F29+F34+F39+F43</f>
        <v>#VALUE!</v>
      </c>
      <c r="G51" s="4">
        <f>G24+G29+G34+G39+G43</f>
        <v>25</v>
      </c>
      <c r="H51" s="4">
        <f>H24+H29+H34+H39+H43</f>
        <v>31</v>
      </c>
      <c r="I51" s="4">
        <f>I24+I29+I34+I39+I43</f>
        <v>25</v>
      </c>
      <c r="J51" s="4">
        <f>J24+J29+J34+J39+J43</f>
        <v>30</v>
      </c>
      <c r="K51" s="4">
        <f>K24+K29+K34+K39+K43</f>
        <v>30</v>
      </c>
      <c r="L51" s="4">
        <f>L24+L29+L34+L39+L43</f>
        <v>28.15</v>
      </c>
      <c r="M51" s="4">
        <f>M24+M29+M34+M39+M43</f>
        <v>28.15</v>
      </c>
      <c r="N51" s="4">
        <f>N24+N29+N34+N39+N43</f>
        <v>28.15</v>
      </c>
      <c r="O51" s="4">
        <f>O24+O29+O34+O39+O43</f>
        <v>29.15</v>
      </c>
      <c r="P51" s="4">
        <f>P24+P29+P34+P39+P43</f>
        <v>29.15</v>
      </c>
      <c r="Q51" s="4">
        <f t="shared" ref="Q51:Y51" si="1">Q24+Q29+Q34+Q39+Q43</f>
        <v>32.15</v>
      </c>
      <c r="R51" s="4">
        <f t="shared" si="1"/>
        <v>45</v>
      </c>
      <c r="S51" s="4">
        <f t="shared" si="1"/>
        <v>45</v>
      </c>
      <c r="T51" s="4">
        <f t="shared" si="1"/>
        <v>45</v>
      </c>
      <c r="U51" s="4">
        <f t="shared" si="1"/>
        <v>50</v>
      </c>
      <c r="V51" s="4">
        <f t="shared" si="1"/>
        <v>50</v>
      </c>
      <c r="W51" s="4">
        <f t="shared" si="1"/>
        <v>55</v>
      </c>
      <c r="X51" s="4">
        <f t="shared" si="1"/>
        <v>50</v>
      </c>
      <c r="Y51" s="4">
        <f t="shared" si="1"/>
        <v>50</v>
      </c>
    </row>
    <row r="52" spans="1:25" s="4" customFormat="1" ht="20.100000000000001" customHeight="1" x14ac:dyDescent="0.2">
      <c r="A52" s="20"/>
      <c r="B52" s="37"/>
      <c r="C52" s="4" t="s">
        <v>130</v>
      </c>
      <c r="D52" s="4">
        <f>D50*(1+D51*0.02)</f>
        <v>92.800000000000011</v>
      </c>
      <c r="E52" s="4">
        <f>E50*(1+E51*0.02)</f>
        <v>92.800000000000011</v>
      </c>
      <c r="F52" s="4" t="e">
        <f>F50*(1+F51*0.02)</f>
        <v>#VALUE!</v>
      </c>
      <c r="G52" s="4">
        <f>G50*(1+G51*0.02)</f>
        <v>40.5</v>
      </c>
      <c r="H52" s="4">
        <f>H50*(1+H51*0.02)</f>
        <v>97.2</v>
      </c>
      <c r="I52" s="4">
        <f>I50*(1+I51*0.02)</f>
        <v>39</v>
      </c>
      <c r="J52" s="4">
        <f>J50*(1+J51*0.02)</f>
        <v>97.600000000000009</v>
      </c>
      <c r="K52" s="4">
        <f>K50*(1+K51*0.02)</f>
        <v>99.2</v>
      </c>
      <c r="L52" s="4">
        <f>L50*(1+L51*0.02)</f>
        <v>95.343000000000004</v>
      </c>
      <c r="M52" s="4">
        <f>M50*(1+M51*0.02)</f>
        <v>95.343000000000004</v>
      </c>
      <c r="N52" s="4">
        <f>N50*(1+N51*0.02)</f>
        <v>95.343000000000004</v>
      </c>
      <c r="O52" s="4">
        <f>O50*(1+O51*0.02)</f>
        <v>96.563000000000002</v>
      </c>
      <c r="P52" s="4">
        <f>P50*(1+P51*0.02)</f>
        <v>96.563000000000002</v>
      </c>
      <c r="Q52" s="4">
        <f t="shared" ref="Q52:Y52" si="2">Q50*(1+Q51*0.02)</f>
        <v>108.438</v>
      </c>
      <c r="R52" s="4">
        <f t="shared" si="2"/>
        <v>133</v>
      </c>
      <c r="S52" s="4">
        <f t="shared" si="2"/>
        <v>133</v>
      </c>
      <c r="T52" s="4">
        <f t="shared" si="2"/>
        <v>140.6</v>
      </c>
      <c r="U52" s="4">
        <f t="shared" si="2"/>
        <v>140</v>
      </c>
      <c r="V52" s="4">
        <f t="shared" si="2"/>
        <v>144</v>
      </c>
      <c r="W52" s="4">
        <f t="shared" si="2"/>
        <v>151.20000000000002</v>
      </c>
      <c r="X52" s="4">
        <f t="shared" si="2"/>
        <v>144</v>
      </c>
      <c r="Y52" s="4">
        <f t="shared" si="2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4" t="s">
        <v>136</v>
      </c>
      <c r="B54" s="34" t="s">
        <v>20</v>
      </c>
      <c r="C54" s="5" t="s">
        <v>21</v>
      </c>
    </row>
    <row r="55" spans="1:25" s="5" customFormat="1" ht="20.100000000000001" customHeight="1" x14ac:dyDescent="0.2">
      <c r="A55" s="21"/>
      <c r="B55" s="21"/>
      <c r="C55" s="5" t="s">
        <v>7</v>
      </c>
    </row>
    <row r="56" spans="1:25" s="5" customFormat="1" ht="20.100000000000001" customHeight="1" x14ac:dyDescent="0.2">
      <c r="A56" s="21"/>
      <c r="B56" s="21"/>
      <c r="C56" s="5" t="s">
        <v>22</v>
      </c>
    </row>
    <row r="57" spans="1:25" s="5" customFormat="1" ht="20.100000000000001" customHeight="1" x14ac:dyDescent="0.2">
      <c r="A57" s="21"/>
      <c r="B57" s="22"/>
      <c r="C57" s="5" t="s">
        <v>23</v>
      </c>
    </row>
    <row r="58" spans="1:25" s="5" customFormat="1" ht="20.100000000000001" customHeight="1" x14ac:dyDescent="0.2">
      <c r="A58" s="21"/>
      <c r="B58" s="34" t="s">
        <v>30</v>
      </c>
      <c r="C58" s="5">
        <v>1</v>
      </c>
    </row>
    <row r="59" spans="1:25" s="5" customFormat="1" ht="20.100000000000001" customHeight="1" x14ac:dyDescent="0.2">
      <c r="A59" s="21"/>
      <c r="B59" s="21"/>
      <c r="C59" s="5">
        <v>2</v>
      </c>
    </row>
    <row r="60" spans="1:25" s="5" customFormat="1" ht="20.100000000000001" customHeight="1" x14ac:dyDescent="0.2">
      <c r="A60" s="21"/>
      <c r="B60" s="22"/>
      <c r="C60" s="5">
        <v>3</v>
      </c>
    </row>
    <row r="61" spans="1:25" s="2" customFormat="1" ht="20.100000000000001" customHeight="1" x14ac:dyDescent="0.2">
      <c r="A61" s="21"/>
      <c r="B61" s="9"/>
      <c r="C61" s="9"/>
      <c r="D61" s="9"/>
      <c r="E61" s="9"/>
    </row>
    <row r="62" spans="1:25" s="5" customFormat="1" ht="20.100000000000001" customHeight="1" x14ac:dyDescent="0.2">
      <c r="A62" s="21"/>
      <c r="B62" s="34" t="s">
        <v>25</v>
      </c>
      <c r="C62" s="5" t="s">
        <v>2</v>
      </c>
    </row>
    <row r="63" spans="1:25" s="5" customFormat="1" ht="20.100000000000001" customHeight="1" x14ac:dyDescent="0.2">
      <c r="A63" s="21"/>
      <c r="B63" s="21"/>
      <c r="C63" s="5" t="s">
        <v>23</v>
      </c>
    </row>
    <row r="64" spans="1:25" s="5" customFormat="1" ht="20.100000000000001" customHeight="1" x14ac:dyDescent="0.2">
      <c r="A64" s="22"/>
      <c r="B64" s="22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29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30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30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31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workbookViewId="0">
      <selection activeCell="F42" sqref="F7:F42"/>
    </sheetView>
  </sheetViews>
  <sheetFormatPr defaultColWidth="16.625" defaultRowHeight="20.100000000000001" customHeight="1" x14ac:dyDescent="0.2"/>
  <cols>
    <col min="1" max="3" width="16.625" style="2"/>
  </cols>
  <sheetData>
    <row r="1" spans="1:12" ht="20.100000000000001" customHeight="1" x14ac:dyDescent="0.2">
      <c r="D1" s="2"/>
      <c r="E1" s="2"/>
    </row>
    <row r="2" spans="1:12" ht="20.100000000000001" customHeight="1" x14ac:dyDescent="0.2">
      <c r="D2" s="2"/>
      <c r="E2" s="2"/>
    </row>
    <row r="3" spans="1:12" ht="20.100000000000001" customHeight="1" x14ac:dyDescent="0.2">
      <c r="D3" s="2" t="s">
        <v>0</v>
      </c>
      <c r="E3" s="2"/>
    </row>
    <row r="4" spans="1:12" s="11" customFormat="1" ht="20.100000000000001" customHeight="1" x14ac:dyDescent="0.2">
      <c r="A4" s="1"/>
      <c r="B4" s="1"/>
      <c r="C4" s="1"/>
      <c r="D4" s="1" t="s">
        <v>117</v>
      </c>
      <c r="E4" s="1" t="s">
        <v>118</v>
      </c>
      <c r="F4" s="1" t="s">
        <v>102</v>
      </c>
      <c r="G4" s="1" t="s">
        <v>119</v>
      </c>
      <c r="H4" s="1" t="s">
        <v>120</v>
      </c>
      <c r="I4" s="1" t="s">
        <v>121</v>
      </c>
      <c r="J4" s="1" t="s">
        <v>172</v>
      </c>
      <c r="K4" s="1" t="s">
        <v>122</v>
      </c>
      <c r="L4" s="1" t="s">
        <v>123</v>
      </c>
    </row>
    <row r="5" spans="1:12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7</v>
      </c>
      <c r="L5" s="1">
        <v>7</v>
      </c>
    </row>
    <row r="6" spans="1:12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2</v>
      </c>
      <c r="H6" s="1">
        <v>2</v>
      </c>
      <c r="I6" s="1">
        <v>3</v>
      </c>
      <c r="J6" s="1">
        <v>3</v>
      </c>
      <c r="K6" s="1">
        <v>1</v>
      </c>
      <c r="L6" s="1">
        <v>2</v>
      </c>
    </row>
    <row r="7" spans="1:12" s="3" customFormat="1" ht="20.100000000000001" customHeight="1" x14ac:dyDescent="0.2">
      <c r="A7" s="19" t="s">
        <v>137</v>
      </c>
      <c r="B7" s="17" t="s">
        <v>24</v>
      </c>
      <c r="C7" s="3" t="s">
        <v>6</v>
      </c>
      <c r="D7" s="3">
        <v>17</v>
      </c>
    </row>
    <row r="8" spans="1:12" s="3" customFormat="1" ht="20.100000000000001" customHeight="1" x14ac:dyDescent="0.2">
      <c r="A8" s="19"/>
      <c r="B8" s="17"/>
      <c r="C8" s="3" t="s">
        <v>7</v>
      </c>
      <c r="D8" s="3">
        <v>200</v>
      </c>
    </row>
    <row r="9" spans="1:12" s="3" customFormat="1" ht="20.100000000000001" customHeight="1" x14ac:dyDescent="0.2">
      <c r="A9" s="19"/>
      <c r="B9" s="17"/>
      <c r="C9" s="3" t="s">
        <v>8</v>
      </c>
      <c r="D9" s="3">
        <v>6</v>
      </c>
    </row>
    <row r="10" spans="1:12" s="3" customFormat="1" ht="20.100000000000001" customHeight="1" x14ac:dyDescent="0.2">
      <c r="A10" s="19"/>
      <c r="B10" s="17"/>
      <c r="C10" s="3" t="s">
        <v>9</v>
      </c>
      <c r="D10" s="3" t="s">
        <v>27</v>
      </c>
    </row>
    <row r="11" spans="1:12" s="3" customFormat="1" ht="20.100000000000001" customHeight="1" x14ac:dyDescent="0.2">
      <c r="A11" s="19"/>
      <c r="B11" s="17" t="s">
        <v>30</v>
      </c>
      <c r="C11" s="3">
        <v>1</v>
      </c>
    </row>
    <row r="12" spans="1:12" s="3" customFormat="1" ht="20.100000000000001" customHeight="1" x14ac:dyDescent="0.2">
      <c r="A12" s="19"/>
      <c r="B12" s="17"/>
      <c r="C12" s="3">
        <v>2</v>
      </c>
    </row>
    <row r="13" spans="1:12" s="3" customFormat="1" ht="20.100000000000001" customHeight="1" x14ac:dyDescent="0.2">
      <c r="A13" s="19"/>
      <c r="B13" s="17"/>
      <c r="C13" s="3">
        <v>3</v>
      </c>
    </row>
    <row r="14" spans="1:12" s="2" customFormat="1" ht="20.100000000000001" customHeight="1" x14ac:dyDescent="0.2">
      <c r="A14" s="19"/>
    </row>
    <row r="15" spans="1:12" s="3" customFormat="1" ht="20.100000000000001" customHeight="1" x14ac:dyDescent="0.2">
      <c r="A15" s="19"/>
      <c r="B15" s="23" t="s">
        <v>1</v>
      </c>
      <c r="C15" s="3" t="s">
        <v>2</v>
      </c>
      <c r="D15" s="3">
        <v>0</v>
      </c>
    </row>
    <row r="16" spans="1:12" s="3" customFormat="1" ht="20.100000000000001" customHeight="1" x14ac:dyDescent="0.2">
      <c r="A16" s="19"/>
      <c r="B16" s="24"/>
      <c r="C16" s="3" t="s">
        <v>3</v>
      </c>
      <c r="D16" s="3">
        <v>0.3</v>
      </c>
    </row>
    <row r="17" spans="1:5" s="3" customFormat="1" ht="20.100000000000001" customHeight="1" x14ac:dyDescent="0.2">
      <c r="A17" s="19"/>
      <c r="B17" s="24"/>
      <c r="C17" s="3" t="s">
        <v>4</v>
      </c>
      <c r="D17" s="3">
        <v>0.05</v>
      </c>
    </row>
    <row r="18" spans="1:5" s="3" customFormat="1" ht="20.100000000000001" customHeight="1" x14ac:dyDescent="0.2">
      <c r="A18" s="19"/>
      <c r="B18" s="25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0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0"/>
      <c r="B21" s="38"/>
      <c r="C21" s="4" t="s">
        <v>7</v>
      </c>
    </row>
    <row r="22" spans="1:5" s="4" customFormat="1" ht="20.100000000000001" customHeight="1" x14ac:dyDescent="0.2">
      <c r="A22" s="20"/>
      <c r="B22" s="38"/>
      <c r="C22" s="4" t="s">
        <v>14</v>
      </c>
    </row>
    <row r="23" spans="1:5" s="4" customFormat="1" ht="20.100000000000001" customHeight="1" x14ac:dyDescent="0.2">
      <c r="A23" s="20"/>
      <c r="B23" s="38"/>
      <c r="C23" s="4" t="s">
        <v>15</v>
      </c>
    </row>
    <row r="24" spans="1:5" s="2" customFormat="1" ht="20.100000000000001" customHeight="1" x14ac:dyDescent="0.2">
      <c r="A24" s="20"/>
      <c r="B24" s="12"/>
      <c r="C24" s="10"/>
      <c r="D24" s="10"/>
      <c r="E24" s="10"/>
    </row>
    <row r="25" spans="1:5" s="4" customFormat="1" ht="20.100000000000001" customHeight="1" x14ac:dyDescent="0.2">
      <c r="A25" s="20"/>
      <c r="B25" s="38" t="s">
        <v>16</v>
      </c>
      <c r="C25" s="4" t="s">
        <v>13</v>
      </c>
    </row>
    <row r="26" spans="1:5" s="4" customFormat="1" ht="20.100000000000001" customHeight="1" x14ac:dyDescent="0.2">
      <c r="A26" s="20"/>
      <c r="B26" s="38"/>
      <c r="C26" s="4" t="s">
        <v>7</v>
      </c>
    </row>
    <row r="27" spans="1:5" s="4" customFormat="1" ht="20.100000000000001" customHeight="1" x14ac:dyDescent="0.2">
      <c r="A27" s="20"/>
      <c r="B27" s="38"/>
      <c r="C27" s="4" t="s">
        <v>14</v>
      </c>
    </row>
    <row r="28" spans="1:5" s="4" customFormat="1" ht="20.100000000000001" customHeight="1" x14ac:dyDescent="0.2">
      <c r="A28" s="20"/>
      <c r="B28" s="38"/>
      <c r="C28" s="4" t="s">
        <v>15</v>
      </c>
    </row>
    <row r="29" spans="1:5" s="2" customFormat="1" ht="20.100000000000001" customHeight="1" x14ac:dyDescent="0.2">
      <c r="A29" s="20"/>
      <c r="B29" s="13"/>
      <c r="C29" s="9"/>
      <c r="D29" s="9"/>
      <c r="E29" s="9"/>
    </row>
    <row r="30" spans="1:5" s="4" customFormat="1" ht="20.100000000000001" customHeight="1" x14ac:dyDescent="0.2">
      <c r="A30" s="20"/>
      <c r="B30" s="35" t="s">
        <v>17</v>
      </c>
      <c r="C30" s="4" t="s">
        <v>13</v>
      </c>
    </row>
    <row r="31" spans="1:5" s="4" customFormat="1" ht="20.100000000000001" customHeight="1" x14ac:dyDescent="0.2">
      <c r="A31" s="20"/>
      <c r="B31" s="36"/>
      <c r="C31" s="4" t="s">
        <v>7</v>
      </c>
    </row>
    <row r="32" spans="1:5" s="4" customFormat="1" ht="20.100000000000001" customHeight="1" x14ac:dyDescent="0.2">
      <c r="A32" s="20"/>
      <c r="B32" s="36"/>
      <c r="C32" s="4" t="s">
        <v>14</v>
      </c>
    </row>
    <row r="33" spans="1:18" s="4" customFormat="1" ht="20.100000000000001" customHeight="1" x14ac:dyDescent="0.2">
      <c r="A33" s="20"/>
      <c r="B33" s="37"/>
      <c r="C33" s="4" t="s">
        <v>15</v>
      </c>
    </row>
    <row r="34" spans="1:18" s="2" customFormat="1" ht="20.100000000000001" customHeight="1" x14ac:dyDescent="0.2">
      <c r="A34" s="20"/>
      <c r="B34" s="14"/>
      <c r="C34" s="1"/>
      <c r="D34" s="1"/>
      <c r="E34" s="1"/>
    </row>
    <row r="35" spans="1:18" s="4" customFormat="1" ht="20.100000000000001" customHeight="1" x14ac:dyDescent="0.2">
      <c r="A35" s="20"/>
      <c r="B35" s="35" t="s">
        <v>18</v>
      </c>
      <c r="C35" s="4" t="s">
        <v>13</v>
      </c>
    </row>
    <row r="36" spans="1:18" s="4" customFormat="1" ht="20.100000000000001" customHeight="1" x14ac:dyDescent="0.2">
      <c r="A36" s="20"/>
      <c r="B36" s="36"/>
      <c r="C36" s="4" t="s">
        <v>7</v>
      </c>
    </row>
    <row r="37" spans="1:18" s="4" customFormat="1" ht="20.100000000000001" customHeight="1" x14ac:dyDescent="0.2">
      <c r="A37" s="20"/>
      <c r="B37" s="36"/>
      <c r="C37" s="4" t="s">
        <v>14</v>
      </c>
    </row>
    <row r="38" spans="1:18" s="4" customFormat="1" ht="20.100000000000001" customHeight="1" x14ac:dyDescent="0.2">
      <c r="A38" s="20"/>
      <c r="B38" s="37"/>
      <c r="C38" s="4" t="s">
        <v>15</v>
      </c>
    </row>
    <row r="39" spans="1:18" s="2" customFormat="1" ht="20.100000000000001" customHeight="1" x14ac:dyDescent="0.2">
      <c r="A39" s="20"/>
      <c r="B39" s="14"/>
      <c r="C39" s="1"/>
      <c r="D39" s="1"/>
      <c r="E39" s="1"/>
    </row>
    <row r="40" spans="1:18" s="4" customFormat="1" ht="20.100000000000001" customHeight="1" x14ac:dyDescent="0.2">
      <c r="A40" s="20"/>
      <c r="B40" s="35" t="s">
        <v>19</v>
      </c>
      <c r="C40" s="4" t="s">
        <v>7</v>
      </c>
    </row>
    <row r="41" spans="1:18" s="4" customFormat="1" ht="20.100000000000001" customHeight="1" x14ac:dyDescent="0.2">
      <c r="A41" s="20"/>
      <c r="B41" s="36"/>
      <c r="C41" s="4" t="s">
        <v>14</v>
      </c>
    </row>
    <row r="42" spans="1:18" s="4" customFormat="1" ht="20.100000000000001" customHeight="1" x14ac:dyDescent="0.2">
      <c r="A42" s="20"/>
      <c r="B42" s="37"/>
      <c r="C42" s="4" t="s">
        <v>15</v>
      </c>
    </row>
    <row r="43" spans="1:18" s="2" customFormat="1" ht="20.100000000000001" customHeight="1" x14ac:dyDescent="0.2">
      <c r="A43" s="20"/>
      <c r="D43" s="7"/>
      <c r="E43" s="7"/>
    </row>
    <row r="44" spans="1:18" s="4" customFormat="1" ht="20.100000000000001" customHeight="1" x14ac:dyDescent="0.2">
      <c r="A44" s="20"/>
      <c r="B44" s="35" t="s">
        <v>30</v>
      </c>
      <c r="C44" s="4">
        <v>1</v>
      </c>
    </row>
    <row r="45" spans="1:18" s="4" customFormat="1" ht="20.100000000000001" customHeight="1" x14ac:dyDescent="0.2">
      <c r="A45" s="20"/>
      <c r="B45" s="36"/>
      <c r="C45" s="4">
        <v>2</v>
      </c>
    </row>
    <row r="46" spans="1:18" s="4" customFormat="1" ht="20.100000000000001" customHeight="1" x14ac:dyDescent="0.2">
      <c r="A46" s="20"/>
      <c r="B46" s="37"/>
      <c r="C46" s="4">
        <v>3</v>
      </c>
    </row>
    <row r="47" spans="1:18" s="2" customFormat="1" ht="20.100000000000001" customHeight="1" x14ac:dyDescent="0.2">
      <c r="A47" s="20"/>
      <c r="B47" s="15"/>
      <c r="C47" s="7"/>
      <c r="D47" s="8"/>
      <c r="E47" s="8"/>
    </row>
    <row r="48" spans="1:18" s="4" customFormat="1" ht="20.100000000000001" customHeight="1" x14ac:dyDescent="0.2">
      <c r="A48" s="20"/>
      <c r="B48" s="35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0"/>
      <c r="B49" s="36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0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4" t="s">
        <v>136</v>
      </c>
      <c r="B52" s="34" t="s">
        <v>20</v>
      </c>
      <c r="C52" s="5" t="s">
        <v>21</v>
      </c>
    </row>
    <row r="53" spans="1:18" s="5" customFormat="1" ht="20.100000000000001" customHeight="1" x14ac:dyDescent="0.2">
      <c r="A53" s="21"/>
      <c r="B53" s="21"/>
      <c r="C53" s="5" t="s">
        <v>7</v>
      </c>
    </row>
    <row r="54" spans="1:18" s="5" customFormat="1" ht="20.100000000000001" customHeight="1" x14ac:dyDescent="0.2">
      <c r="A54" s="21"/>
      <c r="B54" s="21"/>
      <c r="C54" s="5" t="s">
        <v>22</v>
      </c>
    </row>
    <row r="55" spans="1:18" s="5" customFormat="1" ht="20.100000000000001" customHeight="1" x14ac:dyDescent="0.2">
      <c r="A55" s="21"/>
      <c r="B55" s="22"/>
      <c r="C55" s="5" t="s">
        <v>23</v>
      </c>
    </row>
    <row r="56" spans="1:18" s="5" customFormat="1" ht="20.100000000000001" customHeight="1" x14ac:dyDescent="0.2">
      <c r="A56" s="21"/>
      <c r="B56" s="34" t="s">
        <v>30</v>
      </c>
      <c r="C56" s="5">
        <v>1</v>
      </c>
    </row>
    <row r="57" spans="1:18" s="5" customFormat="1" ht="20.100000000000001" customHeight="1" x14ac:dyDescent="0.2">
      <c r="A57" s="21"/>
      <c r="B57" s="21"/>
      <c r="C57" s="5">
        <v>2</v>
      </c>
    </row>
    <row r="58" spans="1:18" s="5" customFormat="1" ht="20.100000000000001" customHeight="1" x14ac:dyDescent="0.2">
      <c r="A58" s="21"/>
      <c r="B58" s="22"/>
      <c r="C58" s="5">
        <v>3</v>
      </c>
    </row>
    <row r="59" spans="1:18" s="2" customFormat="1" ht="20.100000000000001" customHeight="1" x14ac:dyDescent="0.2">
      <c r="A59" s="21"/>
      <c r="B59" s="9"/>
      <c r="C59" s="9"/>
      <c r="D59" s="9"/>
      <c r="E59" s="9"/>
    </row>
    <row r="60" spans="1:18" s="5" customFormat="1" ht="20.100000000000001" customHeight="1" x14ac:dyDescent="0.2">
      <c r="A60" s="21"/>
      <c r="B60" s="34" t="s">
        <v>25</v>
      </c>
      <c r="C60" s="5" t="s">
        <v>2</v>
      </c>
    </row>
    <row r="61" spans="1:18" s="5" customFormat="1" ht="20.100000000000001" customHeight="1" x14ac:dyDescent="0.2">
      <c r="A61" s="21"/>
      <c r="B61" s="21"/>
      <c r="C61" s="5" t="s">
        <v>23</v>
      </c>
    </row>
    <row r="62" spans="1:18" s="5" customFormat="1" ht="20.100000000000001" customHeight="1" x14ac:dyDescent="0.2">
      <c r="A62" s="22"/>
      <c r="B62" s="22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29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30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30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31"/>
      <c r="B67" s="5" t="s">
        <v>134</v>
      </c>
      <c r="C67" s="5" t="s">
        <v>135</v>
      </c>
      <c r="F67" s="5">
        <v>0</v>
      </c>
    </row>
  </sheetData>
  <mergeCells count="17"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阶段3追加</vt:lpstr>
      <vt:lpstr>阶段4</vt:lpstr>
      <vt:lpstr>阶段5</vt:lpstr>
      <vt:lpstr>阶段EX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2025-05-28T19:27:12Z</dcterms:modified>
</cp:coreProperties>
</file>