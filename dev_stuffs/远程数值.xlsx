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Palmon\dev_stuffs\"/>
    </mc:Choice>
  </mc:AlternateContent>
  <xr:revisionPtr revIDLastSave="0" documentId="13_ncr:1_{0C45B55D-BE0B-46AD-A4A4-CE3FFF22C1A4}" xr6:coauthVersionLast="47" xr6:coauthVersionMax="47" xr10:uidLastSave="{00000000-0000-0000-0000-000000000000}"/>
  <bookViews>
    <workbookView xWindow="34764" yWindow="-1932" windowWidth="24012" windowHeight="15432" activeTab="3" xr2:uid="{00000000-000D-0000-FFFF-FFFF00000000}"/>
  </bookViews>
  <sheets>
    <sheet name="伤害计算" sheetId="1" r:id="rId1"/>
    <sheet name="数值投放" sheetId="2" r:id="rId2"/>
    <sheet name="材料数值" sheetId="3" r:id="rId3"/>
    <sheet name="远程武器" sheetId="6" r:id="rId4"/>
    <sheet name="角色属性构成" sheetId="4" r:id="rId5"/>
  </sheets>
  <calcPr calcId="181029"/>
</workbook>
</file>

<file path=xl/calcChain.xml><?xml version="1.0" encoding="utf-8"?>
<calcChain xmlns="http://schemas.openxmlformats.org/spreadsheetml/2006/main">
  <c r="C25" i="6" l="1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E5" i="6"/>
  <c r="G5" i="6"/>
  <c r="K5" i="6"/>
  <c r="Q5" i="6"/>
  <c r="Q25" i="6" l="1"/>
  <c r="K25" i="6"/>
  <c r="E25" i="6"/>
  <c r="G25" i="6" s="1"/>
  <c r="Q24" i="6"/>
  <c r="K24" i="6"/>
  <c r="E24" i="6"/>
  <c r="G24" i="6" s="1"/>
  <c r="Q23" i="6"/>
  <c r="K23" i="6"/>
  <c r="E23" i="6"/>
  <c r="G23" i="6" s="1"/>
  <c r="Q22" i="6"/>
  <c r="K22" i="6"/>
  <c r="E22" i="6"/>
  <c r="G22" i="6" s="1"/>
  <c r="Q21" i="6"/>
  <c r="K21" i="6"/>
  <c r="E21" i="6"/>
  <c r="G21" i="6" s="1"/>
  <c r="Q20" i="6"/>
  <c r="K20" i="6"/>
  <c r="E20" i="6"/>
  <c r="G20" i="6" s="1"/>
  <c r="Q19" i="6"/>
  <c r="K19" i="6"/>
  <c r="E19" i="6"/>
  <c r="G19" i="6" s="1"/>
  <c r="Q18" i="6"/>
  <c r="K18" i="6"/>
  <c r="E18" i="6"/>
  <c r="G18" i="6" s="1"/>
  <c r="Q17" i="6"/>
  <c r="K17" i="6"/>
  <c r="E17" i="6"/>
  <c r="G17" i="6" s="1"/>
  <c r="Q16" i="6"/>
  <c r="K16" i="6"/>
  <c r="E16" i="6"/>
  <c r="G16" i="6" s="1"/>
  <c r="Q15" i="6"/>
  <c r="K15" i="6"/>
  <c r="E15" i="6"/>
  <c r="G15" i="6" s="1"/>
  <c r="Q14" i="6"/>
  <c r="K14" i="6"/>
  <c r="E14" i="6"/>
  <c r="G14" i="6" s="1"/>
  <c r="Q13" i="6"/>
  <c r="K13" i="6"/>
  <c r="E13" i="6"/>
  <c r="G13" i="6" s="1"/>
  <c r="Q12" i="6"/>
  <c r="K12" i="6"/>
  <c r="E12" i="6"/>
  <c r="G12" i="6" s="1"/>
  <c r="Q11" i="6"/>
  <c r="K11" i="6"/>
  <c r="E11" i="6"/>
  <c r="G11" i="6" s="1"/>
  <c r="Q10" i="6"/>
  <c r="K10" i="6"/>
  <c r="E10" i="6"/>
  <c r="G10" i="6" s="1"/>
  <c r="Q9" i="6"/>
  <c r="K9" i="6"/>
  <c r="E9" i="6"/>
  <c r="G9" i="6" s="1"/>
  <c r="Q8" i="6"/>
  <c r="K8" i="6"/>
  <c r="E8" i="6"/>
  <c r="G8" i="6" s="1"/>
  <c r="Q7" i="6"/>
  <c r="K7" i="6"/>
  <c r="E7" i="6"/>
  <c r="G7" i="6" s="1"/>
  <c r="Q6" i="6"/>
  <c r="K6" i="6"/>
  <c r="E6" i="6"/>
  <c r="G6" i="6" s="1"/>
  <c r="P371" i="3"/>
  <c r="O371" i="3"/>
  <c r="N371" i="3"/>
  <c r="L371" i="3"/>
  <c r="K371" i="3"/>
  <c r="I371" i="3"/>
  <c r="H371" i="3"/>
  <c r="F371" i="3"/>
  <c r="E371" i="3"/>
  <c r="P370" i="3"/>
  <c r="O370" i="3"/>
  <c r="N370" i="3"/>
  <c r="L370" i="3"/>
  <c r="K370" i="3"/>
  <c r="I370" i="3"/>
  <c r="H370" i="3"/>
  <c r="F370" i="3"/>
  <c r="E370" i="3"/>
  <c r="P369" i="3"/>
  <c r="O369" i="3"/>
  <c r="N369" i="3"/>
  <c r="L369" i="3"/>
  <c r="K369" i="3"/>
  <c r="I369" i="3"/>
  <c r="H369" i="3"/>
  <c r="F369" i="3"/>
  <c r="E369" i="3"/>
  <c r="P368" i="3"/>
  <c r="O368" i="3"/>
  <c r="N368" i="3"/>
  <c r="L368" i="3"/>
  <c r="K368" i="3"/>
  <c r="I368" i="3"/>
  <c r="H368" i="3"/>
  <c r="F368" i="3"/>
  <c r="E368" i="3"/>
  <c r="P367" i="3"/>
  <c r="O367" i="3"/>
  <c r="N367" i="3"/>
  <c r="L367" i="3"/>
  <c r="K367" i="3"/>
  <c r="I367" i="3"/>
  <c r="H367" i="3"/>
  <c r="F367" i="3"/>
  <c r="E367" i="3"/>
  <c r="P366" i="3"/>
  <c r="O366" i="3"/>
  <c r="N366" i="3"/>
  <c r="L366" i="3"/>
  <c r="K366" i="3"/>
  <c r="I366" i="3"/>
  <c r="H366" i="3"/>
  <c r="F366" i="3"/>
  <c r="E366" i="3"/>
  <c r="P365" i="3"/>
  <c r="O365" i="3"/>
  <c r="N365" i="3"/>
  <c r="L365" i="3"/>
  <c r="K365" i="3"/>
  <c r="I365" i="3"/>
  <c r="H365" i="3"/>
  <c r="F365" i="3"/>
  <c r="E365" i="3"/>
  <c r="P364" i="3"/>
  <c r="O364" i="3"/>
  <c r="N364" i="3"/>
  <c r="L364" i="3"/>
  <c r="K364" i="3"/>
  <c r="I364" i="3"/>
  <c r="H364" i="3"/>
  <c r="F364" i="3"/>
  <c r="E364" i="3"/>
  <c r="P363" i="3"/>
  <c r="O363" i="3"/>
  <c r="N363" i="3"/>
  <c r="L363" i="3"/>
  <c r="K363" i="3"/>
  <c r="I363" i="3"/>
  <c r="H363" i="3"/>
  <c r="F363" i="3"/>
  <c r="E363" i="3"/>
  <c r="P362" i="3"/>
  <c r="O362" i="3"/>
  <c r="N362" i="3"/>
  <c r="L362" i="3"/>
  <c r="K362" i="3"/>
  <c r="I362" i="3"/>
  <c r="H362" i="3"/>
  <c r="F362" i="3"/>
  <c r="E362" i="3"/>
  <c r="P361" i="3"/>
  <c r="O361" i="3"/>
  <c r="N361" i="3"/>
  <c r="L361" i="3"/>
  <c r="K361" i="3"/>
  <c r="I361" i="3"/>
  <c r="H361" i="3"/>
  <c r="F361" i="3"/>
  <c r="E361" i="3"/>
  <c r="P360" i="3"/>
  <c r="O360" i="3"/>
  <c r="N360" i="3"/>
  <c r="L360" i="3"/>
  <c r="K360" i="3"/>
  <c r="I360" i="3"/>
  <c r="H360" i="3"/>
  <c r="F360" i="3"/>
  <c r="E360" i="3"/>
  <c r="P359" i="3"/>
  <c r="O359" i="3"/>
  <c r="N359" i="3"/>
  <c r="L359" i="3"/>
  <c r="K359" i="3"/>
  <c r="I359" i="3"/>
  <c r="H359" i="3"/>
  <c r="F359" i="3"/>
  <c r="E359" i="3"/>
  <c r="P358" i="3"/>
  <c r="O358" i="3"/>
  <c r="N358" i="3"/>
  <c r="L358" i="3"/>
  <c r="K358" i="3"/>
  <c r="I358" i="3"/>
  <c r="H358" i="3"/>
  <c r="F358" i="3"/>
  <c r="E358" i="3"/>
  <c r="P357" i="3"/>
  <c r="O357" i="3"/>
  <c r="N357" i="3"/>
  <c r="L357" i="3"/>
  <c r="K357" i="3"/>
  <c r="I357" i="3"/>
  <c r="H357" i="3"/>
  <c r="F357" i="3"/>
  <c r="E357" i="3"/>
  <c r="P356" i="3"/>
  <c r="O356" i="3"/>
  <c r="N356" i="3"/>
  <c r="L356" i="3"/>
  <c r="K356" i="3"/>
  <c r="I356" i="3"/>
  <c r="H356" i="3"/>
  <c r="F356" i="3"/>
  <c r="E356" i="3"/>
  <c r="P355" i="3"/>
  <c r="O355" i="3"/>
  <c r="N355" i="3"/>
  <c r="L355" i="3"/>
  <c r="K355" i="3"/>
  <c r="I355" i="3"/>
  <c r="H355" i="3"/>
  <c r="F355" i="3"/>
  <c r="E355" i="3"/>
  <c r="P354" i="3"/>
  <c r="O354" i="3"/>
  <c r="N354" i="3"/>
  <c r="L354" i="3"/>
  <c r="K354" i="3"/>
  <c r="I354" i="3"/>
  <c r="H354" i="3"/>
  <c r="F354" i="3"/>
  <c r="E354" i="3"/>
  <c r="P353" i="3"/>
  <c r="O353" i="3"/>
  <c r="N353" i="3"/>
  <c r="L353" i="3"/>
  <c r="K353" i="3"/>
  <c r="I353" i="3"/>
  <c r="H353" i="3"/>
  <c r="F353" i="3"/>
  <c r="E353" i="3"/>
  <c r="P352" i="3"/>
  <c r="O352" i="3"/>
  <c r="N352" i="3"/>
  <c r="L352" i="3"/>
  <c r="K352" i="3"/>
  <c r="I352" i="3"/>
  <c r="H352" i="3"/>
  <c r="F352" i="3"/>
  <c r="E352" i="3"/>
  <c r="P351" i="3"/>
  <c r="O351" i="3"/>
  <c r="N351" i="3"/>
  <c r="L351" i="3"/>
  <c r="K351" i="3"/>
  <c r="I351" i="3"/>
  <c r="H351" i="3"/>
  <c r="F351" i="3"/>
  <c r="E351" i="3"/>
  <c r="L344" i="3"/>
  <c r="L342" i="3"/>
  <c r="L340" i="3"/>
  <c r="L338" i="3"/>
  <c r="L336" i="3"/>
  <c r="T128" i="3"/>
  <c r="R128" i="3"/>
  <c r="O128" i="3"/>
  <c r="M128" i="3"/>
  <c r="L128" i="3"/>
  <c r="T127" i="3"/>
  <c r="R127" i="3"/>
  <c r="O127" i="3"/>
  <c r="M127" i="3"/>
  <c r="L127" i="3"/>
  <c r="T126" i="3"/>
  <c r="R126" i="3"/>
  <c r="O126" i="3"/>
  <c r="M126" i="3"/>
  <c r="L126" i="3"/>
  <c r="T125" i="3"/>
  <c r="R125" i="3"/>
  <c r="O125" i="3"/>
  <c r="M125" i="3"/>
  <c r="L125" i="3"/>
  <c r="T124" i="3"/>
  <c r="R124" i="3"/>
  <c r="O124" i="3"/>
  <c r="M124" i="3"/>
  <c r="L124" i="3"/>
  <c r="T123" i="3"/>
  <c r="R123" i="3"/>
  <c r="O123" i="3"/>
  <c r="M123" i="3"/>
  <c r="L123" i="3"/>
  <c r="T122" i="3"/>
  <c r="R122" i="3"/>
  <c r="O122" i="3"/>
  <c r="M122" i="3"/>
  <c r="L122" i="3"/>
  <c r="T121" i="3"/>
  <c r="R121" i="3"/>
  <c r="O121" i="3"/>
  <c r="M121" i="3"/>
  <c r="L121" i="3"/>
  <c r="T120" i="3"/>
  <c r="R120" i="3"/>
  <c r="O120" i="3"/>
  <c r="M120" i="3"/>
  <c r="L120" i="3"/>
  <c r="T119" i="3"/>
  <c r="R119" i="3"/>
  <c r="O119" i="3"/>
  <c r="M119" i="3"/>
  <c r="L119" i="3"/>
  <c r="T118" i="3"/>
  <c r="R118" i="3"/>
  <c r="O118" i="3"/>
  <c r="M118" i="3"/>
  <c r="L118" i="3"/>
  <c r="T117" i="3"/>
  <c r="R117" i="3"/>
  <c r="O117" i="3"/>
  <c r="M117" i="3"/>
  <c r="L117" i="3"/>
  <c r="T116" i="3"/>
  <c r="R116" i="3"/>
  <c r="O116" i="3"/>
  <c r="M116" i="3"/>
  <c r="L116" i="3"/>
  <c r="T115" i="3"/>
  <c r="R115" i="3"/>
  <c r="O115" i="3"/>
  <c r="M115" i="3"/>
  <c r="L115" i="3"/>
  <c r="T114" i="3"/>
  <c r="R114" i="3"/>
  <c r="O114" i="3"/>
  <c r="M114" i="3"/>
  <c r="L114" i="3"/>
  <c r="T113" i="3"/>
  <c r="R113" i="3"/>
  <c r="O113" i="3"/>
  <c r="M113" i="3"/>
  <c r="L113" i="3"/>
  <c r="T112" i="3"/>
  <c r="R112" i="3"/>
  <c r="O112" i="3"/>
  <c r="M112" i="3"/>
  <c r="L112" i="3"/>
  <c r="T111" i="3"/>
  <c r="R111" i="3"/>
  <c r="O111" i="3"/>
  <c r="M111" i="3"/>
  <c r="L111" i="3"/>
  <c r="T110" i="3"/>
  <c r="R110" i="3"/>
  <c r="O110" i="3"/>
  <c r="M110" i="3"/>
  <c r="L110" i="3"/>
  <c r="T109" i="3"/>
  <c r="R109" i="3"/>
  <c r="O109" i="3"/>
  <c r="M109" i="3"/>
  <c r="L109" i="3"/>
  <c r="T108" i="3"/>
  <c r="R108" i="3"/>
  <c r="O108" i="3"/>
  <c r="M108" i="3"/>
  <c r="L108" i="3"/>
  <c r="T95" i="3"/>
  <c r="R95" i="3"/>
  <c r="O95" i="3"/>
  <c r="M95" i="3"/>
  <c r="L95" i="3"/>
  <c r="T94" i="3"/>
  <c r="R94" i="3"/>
  <c r="O94" i="3"/>
  <c r="M94" i="3"/>
  <c r="L94" i="3"/>
  <c r="T93" i="3"/>
  <c r="R93" i="3"/>
  <c r="O93" i="3"/>
  <c r="M93" i="3"/>
  <c r="L93" i="3"/>
  <c r="T92" i="3"/>
  <c r="R92" i="3"/>
  <c r="O92" i="3"/>
  <c r="M92" i="3"/>
  <c r="L92" i="3"/>
  <c r="T91" i="3"/>
  <c r="R91" i="3"/>
  <c r="O91" i="3"/>
  <c r="M91" i="3"/>
  <c r="L91" i="3"/>
  <c r="T90" i="3"/>
  <c r="R90" i="3"/>
  <c r="O90" i="3"/>
  <c r="M90" i="3"/>
  <c r="L90" i="3"/>
  <c r="T89" i="3"/>
  <c r="R89" i="3"/>
  <c r="O89" i="3"/>
  <c r="M89" i="3"/>
  <c r="L89" i="3"/>
  <c r="T88" i="3"/>
  <c r="R88" i="3"/>
  <c r="O88" i="3"/>
  <c r="M88" i="3"/>
  <c r="L88" i="3"/>
  <c r="T87" i="3"/>
  <c r="R87" i="3"/>
  <c r="O87" i="3"/>
  <c r="M87" i="3"/>
  <c r="L87" i="3"/>
  <c r="T86" i="3"/>
  <c r="R86" i="3"/>
  <c r="O86" i="3"/>
  <c r="M86" i="3"/>
  <c r="L86" i="3"/>
  <c r="T85" i="3"/>
  <c r="R85" i="3"/>
  <c r="O85" i="3"/>
  <c r="M85" i="3"/>
  <c r="L85" i="3"/>
  <c r="T84" i="3"/>
  <c r="R84" i="3"/>
  <c r="O84" i="3"/>
  <c r="M84" i="3"/>
  <c r="L84" i="3"/>
  <c r="T83" i="3"/>
  <c r="R83" i="3"/>
  <c r="O83" i="3"/>
  <c r="M83" i="3"/>
  <c r="L83" i="3"/>
  <c r="T82" i="3"/>
  <c r="R82" i="3"/>
  <c r="O82" i="3"/>
  <c r="M82" i="3"/>
  <c r="L82" i="3"/>
  <c r="T81" i="3"/>
  <c r="R81" i="3"/>
  <c r="O81" i="3"/>
  <c r="M81" i="3"/>
  <c r="L81" i="3"/>
  <c r="T80" i="3"/>
  <c r="R80" i="3"/>
  <c r="O80" i="3"/>
  <c r="M80" i="3"/>
  <c r="L80" i="3"/>
  <c r="T79" i="3"/>
  <c r="R79" i="3"/>
  <c r="O79" i="3"/>
  <c r="M79" i="3"/>
  <c r="L79" i="3"/>
  <c r="T78" i="3"/>
  <c r="R78" i="3"/>
  <c r="O78" i="3"/>
  <c r="M78" i="3"/>
  <c r="L78" i="3"/>
  <c r="T77" i="3"/>
  <c r="R77" i="3"/>
  <c r="O77" i="3"/>
  <c r="M77" i="3"/>
  <c r="L77" i="3"/>
  <c r="T76" i="3"/>
  <c r="R76" i="3"/>
  <c r="O76" i="3"/>
  <c r="M76" i="3"/>
  <c r="L76" i="3"/>
  <c r="T75" i="3"/>
  <c r="R75" i="3"/>
  <c r="O75" i="3"/>
  <c r="M75" i="3"/>
  <c r="L75" i="3"/>
  <c r="T62" i="3"/>
  <c r="R62" i="3"/>
  <c r="O62" i="3"/>
  <c r="M62" i="3"/>
  <c r="L62" i="3"/>
  <c r="T61" i="3"/>
  <c r="R61" i="3"/>
  <c r="O61" i="3"/>
  <c r="M61" i="3"/>
  <c r="L61" i="3"/>
  <c r="T60" i="3"/>
  <c r="R60" i="3"/>
  <c r="O60" i="3"/>
  <c r="M60" i="3"/>
  <c r="L60" i="3"/>
  <c r="T59" i="3"/>
  <c r="R59" i="3"/>
  <c r="O59" i="3"/>
  <c r="M59" i="3"/>
  <c r="L59" i="3"/>
  <c r="T58" i="3"/>
  <c r="R58" i="3"/>
  <c r="O58" i="3"/>
  <c r="M58" i="3"/>
  <c r="L58" i="3"/>
  <c r="T57" i="3"/>
  <c r="R57" i="3"/>
  <c r="O57" i="3"/>
  <c r="M57" i="3"/>
  <c r="L57" i="3"/>
  <c r="T56" i="3"/>
  <c r="R56" i="3"/>
  <c r="O56" i="3"/>
  <c r="M56" i="3"/>
  <c r="L56" i="3"/>
  <c r="T55" i="3"/>
  <c r="R55" i="3"/>
  <c r="O55" i="3"/>
  <c r="M55" i="3"/>
  <c r="L55" i="3"/>
  <c r="T54" i="3"/>
  <c r="R54" i="3"/>
  <c r="O54" i="3"/>
  <c r="M54" i="3"/>
  <c r="L54" i="3"/>
  <c r="T53" i="3"/>
  <c r="R53" i="3"/>
  <c r="O53" i="3"/>
  <c r="M53" i="3"/>
  <c r="L53" i="3"/>
  <c r="T52" i="3"/>
  <c r="R52" i="3"/>
  <c r="O52" i="3"/>
  <c r="M52" i="3"/>
  <c r="L52" i="3"/>
  <c r="T51" i="3"/>
  <c r="R51" i="3"/>
  <c r="O51" i="3"/>
  <c r="M51" i="3"/>
  <c r="L51" i="3"/>
  <c r="T50" i="3"/>
  <c r="R50" i="3"/>
  <c r="O50" i="3"/>
  <c r="M50" i="3"/>
  <c r="L50" i="3"/>
  <c r="T49" i="3"/>
  <c r="R49" i="3"/>
  <c r="O49" i="3"/>
  <c r="M49" i="3"/>
  <c r="L49" i="3"/>
  <c r="T48" i="3"/>
  <c r="R48" i="3"/>
  <c r="O48" i="3"/>
  <c r="M48" i="3"/>
  <c r="L48" i="3"/>
  <c r="T47" i="3"/>
  <c r="R47" i="3"/>
  <c r="O47" i="3"/>
  <c r="M47" i="3"/>
  <c r="L47" i="3"/>
  <c r="T46" i="3"/>
  <c r="R46" i="3"/>
  <c r="O46" i="3"/>
  <c r="M46" i="3"/>
  <c r="L46" i="3"/>
  <c r="T45" i="3"/>
  <c r="R45" i="3"/>
  <c r="O45" i="3"/>
  <c r="M45" i="3"/>
  <c r="L45" i="3"/>
  <c r="T44" i="3"/>
  <c r="R44" i="3"/>
  <c r="O44" i="3"/>
  <c r="M44" i="3"/>
  <c r="L44" i="3"/>
  <c r="T43" i="3"/>
  <c r="R43" i="3"/>
  <c r="O43" i="3"/>
  <c r="M43" i="3"/>
  <c r="L43" i="3"/>
  <c r="T42" i="3"/>
  <c r="R42" i="3"/>
  <c r="O42" i="3"/>
  <c r="M42" i="3"/>
  <c r="L42" i="3"/>
  <c r="T29" i="3"/>
  <c r="R29" i="3"/>
  <c r="O29" i="3"/>
  <c r="M29" i="3"/>
  <c r="L29" i="3"/>
  <c r="T28" i="3"/>
  <c r="R28" i="3"/>
  <c r="O28" i="3"/>
  <c r="M28" i="3"/>
  <c r="L28" i="3"/>
  <c r="T27" i="3"/>
  <c r="R27" i="3"/>
  <c r="O27" i="3"/>
  <c r="M27" i="3"/>
  <c r="L27" i="3"/>
  <c r="T26" i="3"/>
  <c r="R26" i="3"/>
  <c r="O26" i="3"/>
  <c r="M26" i="3"/>
  <c r="L26" i="3"/>
  <c r="T25" i="3"/>
  <c r="R25" i="3"/>
  <c r="O25" i="3"/>
  <c r="M25" i="3"/>
  <c r="L25" i="3"/>
  <c r="T24" i="3"/>
  <c r="R24" i="3"/>
  <c r="O24" i="3"/>
  <c r="M24" i="3"/>
  <c r="L24" i="3"/>
  <c r="T23" i="3"/>
  <c r="R23" i="3"/>
  <c r="O23" i="3"/>
  <c r="M23" i="3"/>
  <c r="L23" i="3"/>
  <c r="T22" i="3"/>
  <c r="R22" i="3"/>
  <c r="O22" i="3"/>
  <c r="M22" i="3"/>
  <c r="L22" i="3"/>
  <c r="T21" i="3"/>
  <c r="R21" i="3"/>
  <c r="O21" i="3"/>
  <c r="M21" i="3"/>
  <c r="L21" i="3"/>
  <c r="T20" i="3"/>
  <c r="R20" i="3"/>
  <c r="O20" i="3"/>
  <c r="M20" i="3"/>
  <c r="L20" i="3"/>
  <c r="T19" i="3"/>
  <c r="R19" i="3"/>
  <c r="O19" i="3"/>
  <c r="M19" i="3"/>
  <c r="L19" i="3"/>
  <c r="T18" i="3"/>
  <c r="R18" i="3"/>
  <c r="O18" i="3"/>
  <c r="M18" i="3"/>
  <c r="L18" i="3"/>
  <c r="T17" i="3"/>
  <c r="R17" i="3"/>
  <c r="O17" i="3"/>
  <c r="M17" i="3"/>
  <c r="L17" i="3"/>
  <c r="T16" i="3"/>
  <c r="R16" i="3"/>
  <c r="O16" i="3"/>
  <c r="M16" i="3"/>
  <c r="L16" i="3"/>
  <c r="T15" i="3"/>
  <c r="R15" i="3"/>
  <c r="O15" i="3"/>
  <c r="M15" i="3"/>
  <c r="L15" i="3"/>
  <c r="T14" i="3"/>
  <c r="R14" i="3"/>
  <c r="O14" i="3"/>
  <c r="M14" i="3"/>
  <c r="L14" i="3"/>
  <c r="T13" i="3"/>
  <c r="R13" i="3"/>
  <c r="O13" i="3"/>
  <c r="M13" i="3"/>
  <c r="L13" i="3"/>
  <c r="T12" i="3"/>
  <c r="R12" i="3"/>
  <c r="O12" i="3"/>
  <c r="M12" i="3"/>
  <c r="L12" i="3"/>
  <c r="T11" i="3"/>
  <c r="R11" i="3"/>
  <c r="O11" i="3"/>
  <c r="M11" i="3"/>
  <c r="L11" i="3"/>
  <c r="T10" i="3"/>
  <c r="R10" i="3"/>
  <c r="O10" i="3"/>
  <c r="M10" i="3"/>
  <c r="L10" i="3"/>
  <c r="T9" i="3"/>
  <c r="R9" i="3"/>
  <c r="O9" i="3"/>
  <c r="M9" i="3"/>
  <c r="L9" i="3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O27" i="2"/>
  <c r="L27" i="2"/>
  <c r="I27" i="2"/>
  <c r="E27" i="2"/>
  <c r="D27" i="2"/>
  <c r="O26" i="2"/>
  <c r="L26" i="2"/>
  <c r="I26" i="2"/>
  <c r="E26" i="2"/>
  <c r="D26" i="2"/>
  <c r="O25" i="2"/>
  <c r="L25" i="2"/>
  <c r="I25" i="2"/>
  <c r="E25" i="2"/>
  <c r="D25" i="2"/>
  <c r="O24" i="2"/>
  <c r="L24" i="2"/>
  <c r="I24" i="2"/>
  <c r="E24" i="2"/>
  <c r="D24" i="2"/>
  <c r="O23" i="2"/>
  <c r="L23" i="2"/>
  <c r="I23" i="2"/>
  <c r="E23" i="2"/>
  <c r="D23" i="2"/>
  <c r="O22" i="2"/>
  <c r="L22" i="2"/>
  <c r="I22" i="2"/>
  <c r="E22" i="2"/>
  <c r="D22" i="2"/>
  <c r="O21" i="2"/>
  <c r="L21" i="2"/>
  <c r="I21" i="2"/>
  <c r="E21" i="2"/>
  <c r="D21" i="2"/>
  <c r="O20" i="2"/>
  <c r="L20" i="2"/>
  <c r="I20" i="2"/>
  <c r="E20" i="2"/>
  <c r="D20" i="2"/>
  <c r="O19" i="2"/>
  <c r="L19" i="2"/>
  <c r="I19" i="2"/>
  <c r="E19" i="2"/>
  <c r="D19" i="2"/>
  <c r="O18" i="2"/>
  <c r="L18" i="2"/>
  <c r="I18" i="2"/>
  <c r="E18" i="2"/>
  <c r="D18" i="2"/>
  <c r="O17" i="2"/>
  <c r="L17" i="2"/>
  <c r="I17" i="2"/>
  <c r="E17" i="2"/>
  <c r="D17" i="2"/>
  <c r="O16" i="2"/>
  <c r="L16" i="2"/>
  <c r="I16" i="2"/>
  <c r="E16" i="2"/>
  <c r="D16" i="2"/>
  <c r="O15" i="2"/>
  <c r="L15" i="2"/>
  <c r="I15" i="2"/>
  <c r="E15" i="2"/>
  <c r="D15" i="2"/>
  <c r="O14" i="2"/>
  <c r="L14" i="2"/>
  <c r="I14" i="2"/>
  <c r="E14" i="2"/>
  <c r="D14" i="2"/>
  <c r="O13" i="2"/>
  <c r="L13" i="2"/>
  <c r="I13" i="2"/>
  <c r="E13" i="2"/>
  <c r="D13" i="2"/>
  <c r="O12" i="2"/>
  <c r="L12" i="2"/>
  <c r="I12" i="2"/>
  <c r="E12" i="2"/>
  <c r="D12" i="2"/>
  <c r="O11" i="2"/>
  <c r="L11" i="2"/>
  <c r="I11" i="2"/>
  <c r="E11" i="2"/>
  <c r="D11" i="2"/>
  <c r="O10" i="2"/>
  <c r="L10" i="2"/>
  <c r="I10" i="2"/>
  <c r="E10" i="2"/>
  <c r="D10" i="2"/>
  <c r="O9" i="2"/>
  <c r="L9" i="2"/>
  <c r="I9" i="2"/>
  <c r="E9" i="2"/>
  <c r="D9" i="2"/>
  <c r="O8" i="2"/>
  <c r="L8" i="2"/>
  <c r="I8" i="2"/>
  <c r="E8" i="2"/>
  <c r="D8" i="2"/>
  <c r="O7" i="2"/>
  <c r="L7" i="2"/>
  <c r="I7" i="2"/>
  <c r="D7" i="2"/>
  <c r="E8" i="1"/>
  <c r="E7" i="1"/>
  <c r="E6" i="1"/>
  <c r="E5" i="1"/>
  <c r="E4" i="1"/>
</calcChain>
</file>

<file path=xl/sharedStrings.xml><?xml version="1.0" encoding="utf-8"?>
<sst xmlns="http://schemas.openxmlformats.org/spreadsheetml/2006/main" count="251" uniqueCount="88">
  <si>
    <t>伤害计算公式</t>
  </si>
  <si>
    <t>最终伤害=伤害-（护甲*（1+韧性*0.02））</t>
  </si>
  <si>
    <t>阶段</t>
  </si>
  <si>
    <t>伤害</t>
  </si>
  <si>
    <t>护甲</t>
  </si>
  <si>
    <t>韧性</t>
  </si>
  <si>
    <t>最终伤害</t>
  </si>
  <si>
    <t>玩家</t>
  </si>
  <si>
    <t>敌人</t>
  </si>
  <si>
    <t>攻击成长公式</t>
  </si>
  <si>
    <t>耐久计算公式</t>
  </si>
  <si>
    <t>攻击=初始攻击+(等级-1)*成长系数</t>
  </si>
  <si>
    <t>耐久=血量/（伤害-护甲）</t>
  </si>
  <si>
    <t>初始属性10</t>
  </si>
  <si>
    <t>阶级</t>
  </si>
  <si>
    <t>小怪</t>
  </si>
  <si>
    <t>BOSS</t>
  </si>
  <si>
    <t>成长系数</t>
  </si>
  <si>
    <t>升级次数</t>
  </si>
  <si>
    <t>攻击</t>
  </si>
  <si>
    <t>差值</t>
  </si>
  <si>
    <t>血量</t>
  </si>
  <si>
    <t>耐久</t>
  </si>
  <si>
    <t>耐久=血量/（伤害-（护甲*（1+韧性*0.02）））</t>
  </si>
  <si>
    <t>真实护甲</t>
  </si>
  <si>
    <t>DPS计算公式</t>
  </si>
  <si>
    <t>最终数值=(工具基础+主要部件平均)*次要部件平均修正*词条总和*系数</t>
  </si>
  <si>
    <t>DPS=近战速度*(近战伤害-护甲)</t>
  </si>
  <si>
    <t>实际加成=1+基础加成*工具部件数量</t>
  </si>
  <si>
    <t>工具数值</t>
  </si>
  <si>
    <t>工具类型</t>
  </si>
  <si>
    <t>基础攻击</t>
  </si>
  <si>
    <t>基础攻速</t>
  </si>
  <si>
    <t>耐久系数%</t>
  </si>
  <si>
    <t>攻击系数%</t>
  </si>
  <si>
    <t>部件数量</t>
  </si>
  <si>
    <t>剑</t>
  </si>
  <si>
    <t>主要部件</t>
  </si>
  <si>
    <t>次要部件</t>
  </si>
  <si>
    <t>材料词条</t>
  </si>
  <si>
    <t>最终数值</t>
  </si>
  <si>
    <t>强化次数</t>
  </si>
  <si>
    <t>近战伤害+</t>
  </si>
  <si>
    <t>耐久+</t>
  </si>
  <si>
    <t>挖掘速度+</t>
  </si>
  <si>
    <t>挖掘等级</t>
  </si>
  <si>
    <t>耐久度%</t>
  </si>
  <si>
    <t>近战伤害%</t>
  </si>
  <si>
    <t>近战速度%</t>
  </si>
  <si>
    <t>挖掘速度%</t>
  </si>
  <si>
    <t>基础加成</t>
  </si>
  <si>
    <t>实际加成</t>
  </si>
  <si>
    <t>近战伤害</t>
  </si>
  <si>
    <t>参考数值</t>
  </si>
  <si>
    <t>近战速度</t>
  </si>
  <si>
    <t>DPS</t>
  </si>
  <si>
    <t>模板DPS</t>
  </si>
  <si>
    <t>匕首</t>
  </si>
  <si>
    <t>最终数值=(工具基础+主要部件平均)*次要部件平均修正+词条总和*系数</t>
  </si>
  <si>
    <t>属性/部件</t>
  </si>
  <si>
    <t>基础</t>
  </si>
  <si>
    <t>小剑刃</t>
  </si>
  <si>
    <t>工具手柄</t>
  </si>
  <si>
    <t>无</t>
  </si>
  <si>
    <t>攻击系数</t>
  </si>
  <si>
    <t>装备部位护甲分配公式</t>
  </si>
  <si>
    <t>部位护甲比例=等于当前部位权重/装备总权重</t>
  </si>
  <si>
    <t>部位韧性等于=装备总韧性/4</t>
  </si>
  <si>
    <t>部位护甲值=总护甲*值部位护甲%（向上取整）</t>
  </si>
  <si>
    <t>部位权重=所需材料数</t>
  </si>
  <si>
    <t>总权重24</t>
  </si>
  <si>
    <t>总护甲值</t>
  </si>
  <si>
    <t>总韧性值</t>
  </si>
  <si>
    <t>头盔</t>
  </si>
  <si>
    <t>胸甲</t>
  </si>
  <si>
    <t>护腿</t>
  </si>
  <si>
    <t>靴子</t>
  </si>
  <si>
    <t>实际总护甲</t>
  </si>
  <si>
    <t>部位护甲%</t>
  </si>
  <si>
    <t>蓄力时间计算公式</t>
  </si>
  <si>
    <t>DPS=1/(20/(20*(拉弓速度*拉弓速度)))*（（2.5*初速）+2.5）*1.75-护甲</t>
  </si>
  <si>
    <t>蓄力时间=20/(20*(拉弓速度*拉弓速度))</t>
  </si>
  <si>
    <t>伤害=（（2.5*初速）+2.5）*1.75</t>
  </si>
  <si>
    <t>拉弓速度</t>
  </si>
  <si>
    <t>初速</t>
  </si>
  <si>
    <t>单发伤害</t>
  </si>
  <si>
    <t>蓄力时间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</si>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</sst>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ajor"/>
    </font>
    <font>
      <b/>
      <sz val="20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0" xfId="0" applyFill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0" fontId="0" fillId="9" borderId="0" xfId="0" applyFill="1">
      <alignment vertical="center"/>
    </xf>
    <xf numFmtId="0" fontId="2" fillId="0" borderId="0" xfId="0" applyFo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3" fillId="11" borderId="1" xfId="1" applyBorder="1">
      <alignment vertical="center"/>
    </xf>
    <xf numFmtId="0" fontId="3" fillId="11" borderId="1" xfId="1" applyBorder="1" applyAlignment="1">
      <alignment horizontal="center" vertical="center"/>
    </xf>
    <xf numFmtId="0" fontId="4" fillId="12" borderId="1" xfId="2" applyBorder="1">
      <alignment vertical="center"/>
    </xf>
    <xf numFmtId="0" fontId="4" fillId="12" borderId="1" xfId="2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11" borderId="0" xfId="1" applyBorder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60" zoomScaleNormal="160" workbookViewId="0">
      <selection activeCell="A10" sqref="A10"/>
    </sheetView>
  </sheetViews>
  <sheetFormatPr defaultColWidth="9" defaultRowHeight="13.5" x14ac:dyDescent="0.15"/>
  <sheetData>
    <row r="1" spans="1:5" x14ac:dyDescent="0.15">
      <c r="A1" s="18" t="s">
        <v>0</v>
      </c>
      <c r="B1" s="18"/>
      <c r="C1" s="7"/>
      <c r="D1" s="7"/>
    </row>
    <row r="2" spans="1:5" x14ac:dyDescent="0.15">
      <c r="A2" s="18" t="s">
        <v>1</v>
      </c>
      <c r="B2" s="18"/>
      <c r="C2" s="18"/>
      <c r="D2" s="18"/>
    </row>
    <row r="3" spans="1:5" x14ac:dyDescent="0.15">
      <c r="A3" s="12" t="s">
        <v>2</v>
      </c>
      <c r="B3" s="13" t="s">
        <v>3</v>
      </c>
      <c r="C3" s="12" t="s">
        <v>4</v>
      </c>
      <c r="D3" s="12" t="s">
        <v>5</v>
      </c>
      <c r="E3" s="12" t="s">
        <v>6</v>
      </c>
    </row>
    <row r="4" spans="1:5" x14ac:dyDescent="0.15">
      <c r="A4" s="2">
        <v>1</v>
      </c>
      <c r="B4" s="2">
        <v>10</v>
      </c>
      <c r="C4" s="2">
        <v>5</v>
      </c>
      <c r="D4" s="2">
        <v>1</v>
      </c>
      <c r="E4" s="2">
        <f>(B4-(C4*(1+D4*0.02)))</f>
        <v>4.9000000000000004</v>
      </c>
    </row>
    <row r="5" spans="1:5" x14ac:dyDescent="0.15">
      <c r="A5" s="2">
        <v>2</v>
      </c>
      <c r="B5" s="6">
        <v>20</v>
      </c>
      <c r="C5" s="4">
        <v>10</v>
      </c>
      <c r="D5" s="2">
        <v>2</v>
      </c>
      <c r="E5" s="2">
        <f>B5-(C5*(1+D5*0.02))</f>
        <v>9.6</v>
      </c>
    </row>
    <row r="6" spans="1:5" x14ac:dyDescent="0.15">
      <c r="A6" s="2">
        <v>3</v>
      </c>
      <c r="B6" s="2">
        <v>40</v>
      </c>
      <c r="C6" s="2">
        <v>20</v>
      </c>
      <c r="D6" s="2">
        <v>3</v>
      </c>
      <c r="E6" s="2">
        <f>B6-(C6*(1+D6*0.02))</f>
        <v>18.8</v>
      </c>
    </row>
    <row r="7" spans="1:5" x14ac:dyDescent="0.15">
      <c r="A7" s="2">
        <v>4</v>
      </c>
      <c r="B7" s="2">
        <v>80</v>
      </c>
      <c r="C7" s="2">
        <v>40</v>
      </c>
      <c r="D7" s="2">
        <v>4</v>
      </c>
      <c r="E7" s="2">
        <f>B7-(C7*(1+D7*0.02))</f>
        <v>36.799999999999997</v>
      </c>
    </row>
    <row r="8" spans="1:5" x14ac:dyDescent="0.15">
      <c r="A8" s="2">
        <v>5</v>
      </c>
      <c r="B8" s="2">
        <v>100</v>
      </c>
      <c r="C8" s="2">
        <v>60</v>
      </c>
      <c r="D8" s="2">
        <v>10</v>
      </c>
      <c r="E8" s="2">
        <f>B8-(C8*(1+D8*0.02))</f>
        <v>28</v>
      </c>
    </row>
  </sheetData>
  <mergeCells count="2">
    <mergeCell ref="A1:B1"/>
    <mergeCell ref="A2:D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"/>
  <sheetViews>
    <sheetView zoomScale="85" zoomScaleNormal="85" workbookViewId="0">
      <selection activeCell="D29" sqref="D29"/>
    </sheetView>
  </sheetViews>
  <sheetFormatPr defaultColWidth="9" defaultRowHeight="13.5" x14ac:dyDescent="0.15"/>
  <cols>
    <col min="11" max="11" width="9.5" customWidth="1"/>
    <col min="12" max="12" width="12.625"/>
    <col min="13" max="13" width="9.25" customWidth="1"/>
    <col min="15" max="15" width="11.625" customWidth="1"/>
  </cols>
  <sheetData>
    <row r="1" spans="1:17" x14ac:dyDescent="0.15">
      <c r="A1" s="19" t="s">
        <v>7</v>
      </c>
      <c r="B1" s="19"/>
      <c r="C1" s="19"/>
      <c r="D1" s="19"/>
      <c r="E1" s="19"/>
      <c r="H1" s="20" t="s">
        <v>8</v>
      </c>
      <c r="I1" s="20"/>
      <c r="J1" s="20"/>
      <c r="K1" s="20"/>
      <c r="L1" s="20"/>
    </row>
    <row r="2" spans="1:17" x14ac:dyDescent="0.15">
      <c r="A2" s="19"/>
      <c r="B2" s="19"/>
      <c r="C2" s="19"/>
      <c r="D2" s="19"/>
      <c r="E2" s="19"/>
      <c r="H2" s="20"/>
      <c r="I2" s="20"/>
      <c r="J2" s="20"/>
      <c r="K2" s="20"/>
      <c r="L2" s="20"/>
    </row>
    <row r="3" spans="1:17" x14ac:dyDescent="0.15">
      <c r="A3" s="27" t="s">
        <v>9</v>
      </c>
      <c r="B3" s="27"/>
      <c r="H3" s="27" t="s">
        <v>10</v>
      </c>
      <c r="I3" s="27"/>
    </row>
    <row r="4" spans="1:17" x14ac:dyDescent="0.15">
      <c r="A4" s="27" t="s">
        <v>11</v>
      </c>
      <c r="B4" s="27"/>
      <c r="C4" s="27"/>
      <c r="D4" s="27"/>
      <c r="H4" s="27" t="s">
        <v>12</v>
      </c>
      <c r="I4" s="27"/>
      <c r="J4" s="27"/>
    </row>
    <row r="5" spans="1:17" x14ac:dyDescent="0.15">
      <c r="A5" s="28" t="s">
        <v>13</v>
      </c>
      <c r="B5" s="28"/>
      <c r="H5" s="24" t="s">
        <v>14</v>
      </c>
      <c r="I5" s="24" t="s">
        <v>3</v>
      </c>
      <c r="J5" s="24" t="s">
        <v>15</v>
      </c>
      <c r="K5" s="24"/>
      <c r="L5" s="24"/>
      <c r="M5" s="24" t="s">
        <v>16</v>
      </c>
      <c r="N5" s="24"/>
      <c r="O5" s="24"/>
    </row>
    <row r="6" spans="1:17" x14ac:dyDescent="0.15">
      <c r="A6" s="3" t="s">
        <v>14</v>
      </c>
      <c r="B6" s="3" t="s">
        <v>17</v>
      </c>
      <c r="C6" s="3" t="s">
        <v>18</v>
      </c>
      <c r="D6" s="3" t="s">
        <v>19</v>
      </c>
      <c r="E6" s="3" t="s">
        <v>20</v>
      </c>
      <c r="H6" s="26"/>
      <c r="I6" s="24"/>
      <c r="J6" s="3" t="s">
        <v>21</v>
      </c>
      <c r="K6" s="3" t="s">
        <v>4</v>
      </c>
      <c r="L6" s="3" t="s">
        <v>22</v>
      </c>
      <c r="M6" s="3" t="s">
        <v>21</v>
      </c>
      <c r="N6" s="3" t="s">
        <v>4</v>
      </c>
      <c r="O6" s="3" t="s">
        <v>22</v>
      </c>
    </row>
    <row r="7" spans="1:17" x14ac:dyDescent="0.15">
      <c r="A7" s="21">
        <v>1</v>
      </c>
      <c r="B7" s="2">
        <v>1</v>
      </c>
      <c r="C7" s="2">
        <v>1</v>
      </c>
      <c r="D7" s="2">
        <f>10+(C7-1)*B7</f>
        <v>10</v>
      </c>
      <c r="E7" s="2"/>
      <c r="H7" s="21">
        <v>1</v>
      </c>
      <c r="I7" s="2">
        <f>D7</f>
        <v>10</v>
      </c>
      <c r="J7" s="2">
        <v>40</v>
      </c>
      <c r="K7" s="2">
        <v>2</v>
      </c>
      <c r="L7" s="2">
        <f t="shared" ref="L7:L27" si="0">CEILING(J7/(I7-K7),1)</f>
        <v>5</v>
      </c>
      <c r="M7" s="2">
        <v>250</v>
      </c>
      <c r="N7" s="2">
        <v>2</v>
      </c>
      <c r="O7" s="2">
        <f>CEILING(M7/(I7-N7),1)</f>
        <v>32</v>
      </c>
      <c r="Q7">
        <v>10</v>
      </c>
    </row>
    <row r="8" spans="1:17" x14ac:dyDescent="0.15">
      <c r="A8" s="22"/>
      <c r="B8" s="2">
        <v>1</v>
      </c>
      <c r="C8" s="2">
        <v>2</v>
      </c>
      <c r="D8" s="2">
        <f t="shared" ref="D8:D27" si="1">10+(C8-1)*B8</f>
        <v>11</v>
      </c>
      <c r="E8" s="2">
        <f t="shared" ref="E8:E27" si="2">D8-D7</f>
        <v>1</v>
      </c>
      <c r="H8" s="22"/>
      <c r="I8" s="2">
        <f t="shared" ref="I8:I27" si="3">D8</f>
        <v>11</v>
      </c>
      <c r="J8" s="2">
        <v>40</v>
      </c>
      <c r="K8" s="2">
        <v>2</v>
      </c>
      <c r="L8" s="2">
        <f t="shared" si="0"/>
        <v>5</v>
      </c>
      <c r="M8" s="2">
        <v>250</v>
      </c>
      <c r="N8" s="2">
        <v>2</v>
      </c>
      <c r="O8" s="2">
        <f t="shared" ref="O8:O27" si="4">CEILING(M8/(I8-N8),1)</f>
        <v>28</v>
      </c>
      <c r="Q8">
        <v>11</v>
      </c>
    </row>
    <row r="9" spans="1:17" x14ac:dyDescent="0.15">
      <c r="A9" s="22"/>
      <c r="B9" s="2">
        <v>1</v>
      </c>
      <c r="C9" s="2">
        <v>3</v>
      </c>
      <c r="D9" s="2">
        <f t="shared" si="1"/>
        <v>12</v>
      </c>
      <c r="E9" s="2">
        <f t="shared" si="2"/>
        <v>1</v>
      </c>
      <c r="H9" s="22"/>
      <c r="I9" s="2">
        <f t="shared" si="3"/>
        <v>12</v>
      </c>
      <c r="J9" s="2">
        <v>40</v>
      </c>
      <c r="K9" s="2">
        <v>2</v>
      </c>
      <c r="L9" s="2">
        <f t="shared" si="0"/>
        <v>4</v>
      </c>
      <c r="M9" s="2">
        <v>250</v>
      </c>
      <c r="N9" s="2">
        <v>2</v>
      </c>
      <c r="O9" s="2">
        <f t="shared" si="4"/>
        <v>25</v>
      </c>
      <c r="Q9">
        <v>12</v>
      </c>
    </row>
    <row r="10" spans="1:17" x14ac:dyDescent="0.15">
      <c r="A10" s="23"/>
      <c r="B10" s="2">
        <v>2</v>
      </c>
      <c r="C10" s="2">
        <v>4</v>
      </c>
      <c r="D10" s="2">
        <f t="shared" si="1"/>
        <v>16</v>
      </c>
      <c r="E10" s="2">
        <f t="shared" si="2"/>
        <v>4</v>
      </c>
      <c r="H10" s="23"/>
      <c r="I10" s="2">
        <f t="shared" si="3"/>
        <v>16</v>
      </c>
      <c r="J10" s="2">
        <v>40</v>
      </c>
      <c r="K10" s="2">
        <v>2</v>
      </c>
      <c r="L10" s="2">
        <f t="shared" si="0"/>
        <v>3</v>
      </c>
      <c r="M10" s="2">
        <v>250</v>
      </c>
      <c r="N10" s="2">
        <v>2</v>
      </c>
      <c r="O10" s="2">
        <f t="shared" si="4"/>
        <v>18</v>
      </c>
      <c r="Q10">
        <v>16</v>
      </c>
    </row>
    <row r="11" spans="1:17" x14ac:dyDescent="0.15">
      <c r="A11" s="21">
        <v>2</v>
      </c>
      <c r="B11" s="2">
        <v>4</v>
      </c>
      <c r="C11" s="2">
        <v>5</v>
      </c>
      <c r="D11" s="2">
        <f t="shared" si="1"/>
        <v>26</v>
      </c>
      <c r="E11" s="2">
        <f t="shared" si="2"/>
        <v>10</v>
      </c>
      <c r="H11" s="21">
        <v>2</v>
      </c>
      <c r="I11" s="2">
        <f t="shared" si="3"/>
        <v>26</v>
      </c>
      <c r="J11" s="2">
        <v>100</v>
      </c>
      <c r="K11" s="2">
        <v>10</v>
      </c>
      <c r="L11" s="2">
        <f t="shared" si="0"/>
        <v>7</v>
      </c>
      <c r="M11" s="2">
        <v>600</v>
      </c>
      <c r="N11" s="2">
        <v>5</v>
      </c>
      <c r="O11" s="2">
        <f t="shared" si="4"/>
        <v>29</v>
      </c>
      <c r="Q11">
        <v>26</v>
      </c>
    </row>
    <row r="12" spans="1:17" x14ac:dyDescent="0.15">
      <c r="A12" s="22"/>
      <c r="B12" s="2">
        <v>4</v>
      </c>
      <c r="C12" s="2">
        <v>6</v>
      </c>
      <c r="D12" s="2">
        <f t="shared" si="1"/>
        <v>30</v>
      </c>
      <c r="E12" s="2">
        <f t="shared" si="2"/>
        <v>4</v>
      </c>
      <c r="H12" s="22"/>
      <c r="I12" s="2">
        <f t="shared" si="3"/>
        <v>30</v>
      </c>
      <c r="J12" s="2">
        <v>100</v>
      </c>
      <c r="K12" s="2">
        <v>10</v>
      </c>
      <c r="L12" s="2">
        <f t="shared" si="0"/>
        <v>5</v>
      </c>
      <c r="M12" s="2">
        <v>600</v>
      </c>
      <c r="N12" s="2">
        <v>5</v>
      </c>
      <c r="O12" s="2">
        <f t="shared" si="4"/>
        <v>24</v>
      </c>
      <c r="Q12">
        <v>30</v>
      </c>
    </row>
    <row r="13" spans="1:17" x14ac:dyDescent="0.15">
      <c r="A13" s="22"/>
      <c r="B13" s="2">
        <v>4</v>
      </c>
      <c r="C13" s="2">
        <v>7</v>
      </c>
      <c r="D13" s="2">
        <f t="shared" si="1"/>
        <v>34</v>
      </c>
      <c r="E13" s="2">
        <f t="shared" si="2"/>
        <v>4</v>
      </c>
      <c r="H13" s="22"/>
      <c r="I13" s="2">
        <f t="shared" si="3"/>
        <v>34</v>
      </c>
      <c r="J13" s="2">
        <v>100</v>
      </c>
      <c r="K13" s="2">
        <v>10</v>
      </c>
      <c r="L13" s="2">
        <f t="shared" si="0"/>
        <v>5</v>
      </c>
      <c r="M13" s="2">
        <v>600</v>
      </c>
      <c r="N13" s="2">
        <v>5</v>
      </c>
      <c r="O13" s="2">
        <f t="shared" si="4"/>
        <v>21</v>
      </c>
      <c r="Q13">
        <v>34</v>
      </c>
    </row>
    <row r="14" spans="1:17" x14ac:dyDescent="0.15">
      <c r="A14" s="23"/>
      <c r="B14" s="2">
        <v>4</v>
      </c>
      <c r="C14" s="2">
        <v>8</v>
      </c>
      <c r="D14" s="2">
        <f t="shared" si="1"/>
        <v>38</v>
      </c>
      <c r="E14" s="2">
        <f t="shared" si="2"/>
        <v>4</v>
      </c>
      <c r="H14" s="23"/>
      <c r="I14" s="2">
        <f t="shared" si="3"/>
        <v>38</v>
      </c>
      <c r="J14" s="2">
        <v>100</v>
      </c>
      <c r="K14" s="2">
        <v>10</v>
      </c>
      <c r="L14" s="2">
        <f t="shared" si="0"/>
        <v>4</v>
      </c>
      <c r="M14" s="2">
        <v>600</v>
      </c>
      <c r="N14" s="2">
        <v>5</v>
      </c>
      <c r="O14" s="2">
        <f t="shared" si="4"/>
        <v>19</v>
      </c>
      <c r="Q14">
        <v>38</v>
      </c>
    </row>
    <row r="15" spans="1:17" x14ac:dyDescent="0.15">
      <c r="A15" s="21">
        <v>3</v>
      </c>
      <c r="B15" s="2">
        <v>9</v>
      </c>
      <c r="C15" s="2">
        <v>9</v>
      </c>
      <c r="D15" s="2">
        <f t="shared" si="1"/>
        <v>82</v>
      </c>
      <c r="E15" s="2">
        <f t="shared" si="2"/>
        <v>44</v>
      </c>
      <c r="H15" s="21">
        <v>3</v>
      </c>
      <c r="I15" s="2">
        <f t="shared" si="3"/>
        <v>82</v>
      </c>
      <c r="J15" s="2">
        <v>350</v>
      </c>
      <c r="K15" s="2">
        <v>25</v>
      </c>
      <c r="L15" s="2">
        <f t="shared" si="0"/>
        <v>7</v>
      </c>
      <c r="M15" s="2">
        <v>2500</v>
      </c>
      <c r="N15" s="2">
        <v>20</v>
      </c>
      <c r="O15" s="2">
        <f t="shared" si="4"/>
        <v>41</v>
      </c>
      <c r="Q15">
        <v>82</v>
      </c>
    </row>
    <row r="16" spans="1:17" x14ac:dyDescent="0.15">
      <c r="A16" s="22"/>
      <c r="B16" s="2">
        <v>9</v>
      </c>
      <c r="C16" s="2">
        <v>10</v>
      </c>
      <c r="D16" s="2">
        <f t="shared" si="1"/>
        <v>91</v>
      </c>
      <c r="E16" s="2">
        <f t="shared" si="2"/>
        <v>9</v>
      </c>
      <c r="H16" s="22"/>
      <c r="I16" s="2">
        <f t="shared" si="3"/>
        <v>91</v>
      </c>
      <c r="J16" s="2">
        <v>350</v>
      </c>
      <c r="K16" s="2">
        <v>25</v>
      </c>
      <c r="L16" s="2">
        <f t="shared" si="0"/>
        <v>6</v>
      </c>
      <c r="M16" s="2">
        <v>2500</v>
      </c>
      <c r="N16" s="2">
        <v>20</v>
      </c>
      <c r="O16" s="2">
        <f t="shared" si="4"/>
        <v>36</v>
      </c>
      <c r="Q16">
        <v>91</v>
      </c>
    </row>
    <row r="17" spans="1:17" x14ac:dyDescent="0.15">
      <c r="A17" s="22"/>
      <c r="B17" s="2">
        <v>9</v>
      </c>
      <c r="C17" s="2">
        <v>11</v>
      </c>
      <c r="D17" s="2">
        <f t="shared" si="1"/>
        <v>100</v>
      </c>
      <c r="E17" s="2">
        <f t="shared" si="2"/>
        <v>9</v>
      </c>
      <c r="H17" s="22"/>
      <c r="I17" s="2">
        <f t="shared" si="3"/>
        <v>100</v>
      </c>
      <c r="J17" s="2">
        <v>350</v>
      </c>
      <c r="K17" s="2">
        <v>25</v>
      </c>
      <c r="L17" s="2">
        <f t="shared" si="0"/>
        <v>5</v>
      </c>
      <c r="M17" s="2">
        <v>2500</v>
      </c>
      <c r="N17" s="2">
        <v>20</v>
      </c>
      <c r="O17" s="2">
        <f t="shared" si="4"/>
        <v>32</v>
      </c>
      <c r="Q17">
        <v>100</v>
      </c>
    </row>
    <row r="18" spans="1:17" x14ac:dyDescent="0.15">
      <c r="A18" s="22"/>
      <c r="B18" s="2">
        <v>9</v>
      </c>
      <c r="C18" s="2">
        <v>12</v>
      </c>
      <c r="D18" s="2">
        <f t="shared" si="1"/>
        <v>109</v>
      </c>
      <c r="E18" s="2">
        <f t="shared" si="2"/>
        <v>9</v>
      </c>
      <c r="H18" s="22"/>
      <c r="I18" s="2">
        <f t="shared" si="3"/>
        <v>109</v>
      </c>
      <c r="J18" s="2">
        <v>350</v>
      </c>
      <c r="K18" s="2">
        <v>25</v>
      </c>
      <c r="L18" s="2">
        <f t="shared" si="0"/>
        <v>5</v>
      </c>
      <c r="M18" s="2">
        <v>2500</v>
      </c>
      <c r="N18" s="2">
        <v>20</v>
      </c>
      <c r="O18" s="2">
        <f t="shared" si="4"/>
        <v>29</v>
      </c>
      <c r="Q18">
        <v>109</v>
      </c>
    </row>
    <row r="19" spans="1:17" x14ac:dyDescent="0.15">
      <c r="A19" s="22"/>
      <c r="B19" s="2">
        <v>9</v>
      </c>
      <c r="C19" s="2">
        <v>13</v>
      </c>
      <c r="D19" s="2">
        <f t="shared" si="1"/>
        <v>118</v>
      </c>
      <c r="E19" s="2">
        <f t="shared" si="2"/>
        <v>9</v>
      </c>
      <c r="H19" s="22"/>
      <c r="I19" s="2">
        <f t="shared" si="3"/>
        <v>118</v>
      </c>
      <c r="J19" s="2">
        <v>350</v>
      </c>
      <c r="K19" s="2">
        <v>25</v>
      </c>
      <c r="L19" s="2">
        <f t="shared" si="0"/>
        <v>4</v>
      </c>
      <c r="M19" s="2">
        <v>2500</v>
      </c>
      <c r="N19" s="2">
        <v>20</v>
      </c>
      <c r="O19" s="2">
        <f t="shared" si="4"/>
        <v>26</v>
      </c>
      <c r="Q19">
        <v>118</v>
      </c>
    </row>
    <row r="20" spans="1:17" x14ac:dyDescent="0.15">
      <c r="A20" s="23"/>
      <c r="B20" s="2">
        <v>9</v>
      </c>
      <c r="C20" s="2">
        <v>14</v>
      </c>
      <c r="D20" s="2">
        <f t="shared" si="1"/>
        <v>127</v>
      </c>
      <c r="E20" s="2">
        <f t="shared" si="2"/>
        <v>9</v>
      </c>
      <c r="H20" s="23"/>
      <c r="I20" s="2">
        <f t="shared" si="3"/>
        <v>127</v>
      </c>
      <c r="J20" s="2">
        <v>350</v>
      </c>
      <c r="K20" s="2">
        <v>25</v>
      </c>
      <c r="L20" s="2">
        <f t="shared" si="0"/>
        <v>4</v>
      </c>
      <c r="M20" s="2">
        <v>2500</v>
      </c>
      <c r="N20" s="2">
        <v>20</v>
      </c>
      <c r="O20" s="2">
        <f t="shared" si="4"/>
        <v>24</v>
      </c>
      <c r="Q20">
        <v>127</v>
      </c>
    </row>
    <row r="21" spans="1:17" x14ac:dyDescent="0.15">
      <c r="A21" s="21">
        <v>4</v>
      </c>
      <c r="B21" s="2">
        <v>16</v>
      </c>
      <c r="C21" s="2">
        <v>15</v>
      </c>
      <c r="D21" s="2">
        <f t="shared" si="1"/>
        <v>234</v>
      </c>
      <c r="E21" s="2">
        <f t="shared" si="2"/>
        <v>107</v>
      </c>
      <c r="H21" s="21">
        <v>4</v>
      </c>
      <c r="I21" s="2">
        <f t="shared" si="3"/>
        <v>234</v>
      </c>
      <c r="J21" s="2">
        <v>800</v>
      </c>
      <c r="K21" s="2">
        <v>100</v>
      </c>
      <c r="L21" s="2">
        <f t="shared" si="0"/>
        <v>6</v>
      </c>
      <c r="M21" s="2">
        <v>4000</v>
      </c>
      <c r="N21" s="2">
        <v>100</v>
      </c>
      <c r="O21" s="2">
        <f t="shared" si="4"/>
        <v>30</v>
      </c>
      <c r="Q21">
        <v>334</v>
      </c>
    </row>
    <row r="22" spans="1:17" x14ac:dyDescent="0.15">
      <c r="A22" s="22"/>
      <c r="B22" s="2">
        <v>16</v>
      </c>
      <c r="C22" s="2">
        <v>16</v>
      </c>
      <c r="D22" s="2">
        <f t="shared" si="1"/>
        <v>250</v>
      </c>
      <c r="E22" s="2">
        <f t="shared" si="2"/>
        <v>16</v>
      </c>
      <c r="H22" s="22"/>
      <c r="I22" s="2">
        <f t="shared" si="3"/>
        <v>250</v>
      </c>
      <c r="J22" s="2">
        <v>800</v>
      </c>
      <c r="K22" s="2">
        <v>100</v>
      </c>
      <c r="L22" s="2">
        <f t="shared" si="0"/>
        <v>6</v>
      </c>
      <c r="M22" s="2">
        <v>4000</v>
      </c>
      <c r="N22" s="2">
        <v>100</v>
      </c>
      <c r="O22" s="2">
        <f t="shared" si="4"/>
        <v>27</v>
      </c>
      <c r="Q22">
        <v>250</v>
      </c>
    </row>
    <row r="23" spans="1:17" x14ac:dyDescent="0.15">
      <c r="A23" s="23"/>
      <c r="B23" s="2">
        <v>16</v>
      </c>
      <c r="C23" s="2">
        <v>17</v>
      </c>
      <c r="D23" s="2">
        <f t="shared" si="1"/>
        <v>266</v>
      </c>
      <c r="E23" s="2">
        <f t="shared" si="2"/>
        <v>16</v>
      </c>
      <c r="H23" s="23"/>
      <c r="I23" s="2">
        <f t="shared" si="3"/>
        <v>266</v>
      </c>
      <c r="J23" s="2">
        <v>800</v>
      </c>
      <c r="K23" s="2">
        <v>100</v>
      </c>
      <c r="L23" s="2">
        <f t="shared" si="0"/>
        <v>5</v>
      </c>
      <c r="M23" s="2">
        <v>4000</v>
      </c>
      <c r="N23" s="2">
        <v>100</v>
      </c>
      <c r="O23" s="2">
        <f t="shared" si="4"/>
        <v>25</v>
      </c>
      <c r="Q23">
        <v>266</v>
      </c>
    </row>
    <row r="24" spans="1:17" x14ac:dyDescent="0.15">
      <c r="A24" s="21">
        <v>5</v>
      </c>
      <c r="B24" s="2">
        <v>30</v>
      </c>
      <c r="C24" s="2">
        <v>18</v>
      </c>
      <c r="D24" s="2">
        <f t="shared" si="1"/>
        <v>520</v>
      </c>
      <c r="E24" s="2">
        <f t="shared" si="2"/>
        <v>254</v>
      </c>
      <c r="H24" s="21">
        <v>5</v>
      </c>
      <c r="I24" s="2">
        <f t="shared" si="3"/>
        <v>520</v>
      </c>
      <c r="J24" s="2">
        <v>2000</v>
      </c>
      <c r="K24" s="2">
        <v>200</v>
      </c>
      <c r="L24" s="2">
        <f t="shared" si="0"/>
        <v>7</v>
      </c>
      <c r="M24" s="2">
        <v>15000</v>
      </c>
      <c r="N24" s="2">
        <v>200</v>
      </c>
      <c r="O24" s="2">
        <f t="shared" si="4"/>
        <v>47</v>
      </c>
      <c r="Q24">
        <v>520</v>
      </c>
    </row>
    <row r="25" spans="1:17" x14ac:dyDescent="0.15">
      <c r="A25" s="22"/>
      <c r="B25" s="2">
        <v>31</v>
      </c>
      <c r="C25" s="2">
        <v>19</v>
      </c>
      <c r="D25" s="2">
        <f t="shared" si="1"/>
        <v>568</v>
      </c>
      <c r="E25" s="2">
        <f t="shared" si="2"/>
        <v>48</v>
      </c>
      <c r="H25" s="22"/>
      <c r="I25" s="2">
        <f t="shared" si="3"/>
        <v>568</v>
      </c>
      <c r="J25" s="2">
        <v>2000</v>
      </c>
      <c r="K25" s="2">
        <v>200</v>
      </c>
      <c r="L25" s="2">
        <f t="shared" si="0"/>
        <v>6</v>
      </c>
      <c r="M25" s="2">
        <v>15000</v>
      </c>
      <c r="N25" s="2">
        <v>200</v>
      </c>
      <c r="O25" s="2">
        <f t="shared" si="4"/>
        <v>41</v>
      </c>
      <c r="Q25">
        <v>568</v>
      </c>
    </row>
    <row r="26" spans="1:17" x14ac:dyDescent="0.15">
      <c r="A26" s="22"/>
      <c r="B26" s="2">
        <v>32</v>
      </c>
      <c r="C26" s="2">
        <v>20</v>
      </c>
      <c r="D26" s="2">
        <f t="shared" si="1"/>
        <v>618</v>
      </c>
      <c r="E26" s="2">
        <f t="shared" si="2"/>
        <v>50</v>
      </c>
      <c r="H26" s="22"/>
      <c r="I26" s="2">
        <f t="shared" si="3"/>
        <v>618</v>
      </c>
      <c r="J26" s="2">
        <v>2000</v>
      </c>
      <c r="K26" s="2">
        <v>200</v>
      </c>
      <c r="L26" s="2">
        <f t="shared" si="0"/>
        <v>5</v>
      </c>
      <c r="M26" s="2">
        <v>15000</v>
      </c>
      <c r="N26" s="2">
        <v>200</v>
      </c>
      <c r="O26" s="2">
        <f t="shared" si="4"/>
        <v>36</v>
      </c>
      <c r="Q26">
        <v>618</v>
      </c>
    </row>
    <row r="27" spans="1:17" x14ac:dyDescent="0.15">
      <c r="A27" s="23"/>
      <c r="B27" s="2">
        <v>35</v>
      </c>
      <c r="C27" s="2">
        <v>21</v>
      </c>
      <c r="D27" s="2">
        <f t="shared" si="1"/>
        <v>710</v>
      </c>
      <c r="E27" s="2">
        <f t="shared" si="2"/>
        <v>92</v>
      </c>
      <c r="H27" s="23"/>
      <c r="I27" s="2">
        <f t="shared" si="3"/>
        <v>710</v>
      </c>
      <c r="J27" s="2">
        <v>2000</v>
      </c>
      <c r="K27" s="2">
        <v>200</v>
      </c>
      <c r="L27" s="2">
        <f t="shared" si="0"/>
        <v>4</v>
      </c>
      <c r="M27" s="2">
        <v>15000</v>
      </c>
      <c r="N27" s="2">
        <v>200</v>
      </c>
      <c r="O27" s="2">
        <f t="shared" si="4"/>
        <v>30</v>
      </c>
      <c r="Q27">
        <v>710</v>
      </c>
    </row>
    <row r="30" spans="1:17" x14ac:dyDescent="0.15">
      <c r="D30" s="10"/>
    </row>
    <row r="32" spans="1:17" ht="25.5" x14ac:dyDescent="0.15">
      <c r="A32" s="11"/>
      <c r="B32" s="11"/>
      <c r="C32" s="11"/>
      <c r="D32" s="11"/>
      <c r="E32" s="11"/>
      <c r="H32" s="19" t="s">
        <v>7</v>
      </c>
      <c r="I32" s="19"/>
      <c r="J32" s="19"/>
      <c r="K32" s="19"/>
      <c r="L32" s="19"/>
      <c r="M32" s="19"/>
      <c r="N32" s="19"/>
    </row>
    <row r="33" spans="1:14" ht="25.5" x14ac:dyDescent="0.15">
      <c r="A33" s="11"/>
      <c r="B33" s="11"/>
      <c r="C33" s="11"/>
      <c r="D33" s="11"/>
      <c r="E33" s="11"/>
      <c r="H33" s="19"/>
      <c r="I33" s="19"/>
      <c r="J33" s="19"/>
      <c r="K33" s="19"/>
      <c r="L33" s="19"/>
      <c r="M33" s="19"/>
      <c r="N33" s="19"/>
    </row>
    <row r="34" spans="1:14" x14ac:dyDescent="0.15">
      <c r="H34" s="25" t="s">
        <v>10</v>
      </c>
      <c r="I34" s="25"/>
    </row>
    <row r="35" spans="1:14" x14ac:dyDescent="0.15">
      <c r="H35" s="25" t="s">
        <v>23</v>
      </c>
      <c r="I35" s="25"/>
      <c r="J35" s="25"/>
      <c r="K35" s="25"/>
      <c r="L35" s="25"/>
    </row>
    <row r="36" spans="1:14" x14ac:dyDescent="0.15">
      <c r="H36" s="3" t="s">
        <v>14</v>
      </c>
      <c r="I36" s="3" t="s">
        <v>3</v>
      </c>
      <c r="J36" s="3" t="s">
        <v>21</v>
      </c>
      <c r="K36" s="3" t="s">
        <v>4</v>
      </c>
      <c r="L36" s="3" t="s">
        <v>5</v>
      </c>
      <c r="M36" s="9" t="s">
        <v>24</v>
      </c>
      <c r="N36" s="9" t="s">
        <v>22</v>
      </c>
    </row>
    <row r="37" spans="1:14" x14ac:dyDescent="0.15">
      <c r="H37" s="21">
        <v>1</v>
      </c>
      <c r="I37" s="1">
        <v>15</v>
      </c>
      <c r="J37" s="1">
        <v>60</v>
      </c>
      <c r="K37" s="1">
        <v>0</v>
      </c>
      <c r="L37" s="1">
        <v>0</v>
      </c>
      <c r="M37" s="1">
        <v>0</v>
      </c>
      <c r="N37" s="1">
        <f>CEILING(J37/(I37-(K37*(1+L37*0.02))),1)</f>
        <v>4</v>
      </c>
    </row>
    <row r="38" spans="1:14" x14ac:dyDescent="0.15">
      <c r="H38" s="22"/>
      <c r="I38" s="1">
        <v>15</v>
      </c>
      <c r="J38" s="1">
        <v>60</v>
      </c>
      <c r="K38" s="1">
        <v>4</v>
      </c>
      <c r="L38" s="1">
        <v>0</v>
      </c>
      <c r="M38" s="1">
        <f t="shared" ref="M38:M57" si="5">K38*(1+L38*0.02)</f>
        <v>4</v>
      </c>
      <c r="N38" s="1">
        <f t="shared" ref="N38:N57" si="6">CEILING(J38/(I38-(K38*(1+L38*0.02))),1)</f>
        <v>6</v>
      </c>
    </row>
    <row r="39" spans="1:14" x14ac:dyDescent="0.15">
      <c r="H39" s="22"/>
      <c r="I39" s="1">
        <v>15</v>
      </c>
      <c r="J39" s="1">
        <v>60</v>
      </c>
      <c r="K39" s="1">
        <v>8</v>
      </c>
      <c r="L39" s="1">
        <v>0</v>
      </c>
      <c r="M39" s="1">
        <f t="shared" si="5"/>
        <v>8</v>
      </c>
      <c r="N39" s="1">
        <f t="shared" si="6"/>
        <v>9</v>
      </c>
    </row>
    <row r="40" spans="1:14" x14ac:dyDescent="0.15">
      <c r="H40" s="23"/>
      <c r="I40" s="1">
        <v>15</v>
      </c>
      <c r="J40" s="1">
        <v>60</v>
      </c>
      <c r="K40" s="1">
        <v>8</v>
      </c>
      <c r="L40" s="1">
        <v>4</v>
      </c>
      <c r="M40" s="1">
        <f t="shared" si="5"/>
        <v>8.64</v>
      </c>
      <c r="N40" s="1">
        <f t="shared" si="6"/>
        <v>10</v>
      </c>
    </row>
    <row r="41" spans="1:14" x14ac:dyDescent="0.15">
      <c r="H41" s="21">
        <v>2</v>
      </c>
      <c r="I41" s="1">
        <v>35</v>
      </c>
      <c r="J41" s="1">
        <v>100</v>
      </c>
      <c r="K41" s="1">
        <v>12</v>
      </c>
      <c r="L41" s="1">
        <v>4</v>
      </c>
      <c r="M41" s="1">
        <f t="shared" si="5"/>
        <v>12.96</v>
      </c>
      <c r="N41" s="1">
        <f t="shared" si="6"/>
        <v>5</v>
      </c>
    </row>
    <row r="42" spans="1:14" x14ac:dyDescent="0.15">
      <c r="H42" s="22"/>
      <c r="I42" s="1">
        <v>35</v>
      </c>
      <c r="J42" s="1">
        <v>100</v>
      </c>
      <c r="K42" s="1">
        <v>16</v>
      </c>
      <c r="L42" s="1">
        <v>4</v>
      </c>
      <c r="M42" s="1">
        <f t="shared" si="5"/>
        <v>17.28</v>
      </c>
      <c r="N42" s="1">
        <f t="shared" si="6"/>
        <v>6</v>
      </c>
    </row>
    <row r="43" spans="1:14" x14ac:dyDescent="0.15">
      <c r="H43" s="22"/>
      <c r="I43" s="1">
        <v>35</v>
      </c>
      <c r="J43" s="1">
        <v>100</v>
      </c>
      <c r="K43" s="1">
        <v>16</v>
      </c>
      <c r="L43" s="1">
        <v>8</v>
      </c>
      <c r="M43" s="1">
        <f t="shared" si="5"/>
        <v>18.559999999999999</v>
      </c>
      <c r="N43" s="1">
        <f t="shared" si="6"/>
        <v>7</v>
      </c>
    </row>
    <row r="44" spans="1:14" x14ac:dyDescent="0.15">
      <c r="H44" s="23"/>
      <c r="I44" s="1">
        <v>35</v>
      </c>
      <c r="J44" s="1">
        <v>100</v>
      </c>
      <c r="K44" s="1">
        <v>20</v>
      </c>
      <c r="L44" s="1">
        <v>8</v>
      </c>
      <c r="M44" s="1">
        <f t="shared" si="5"/>
        <v>23.2</v>
      </c>
      <c r="N44" s="1">
        <f t="shared" si="6"/>
        <v>9</v>
      </c>
    </row>
    <row r="45" spans="1:14" x14ac:dyDescent="0.15">
      <c r="H45" s="21">
        <v>3</v>
      </c>
      <c r="I45" s="1">
        <v>80</v>
      </c>
      <c r="J45" s="1">
        <v>200</v>
      </c>
      <c r="K45" s="1">
        <v>24</v>
      </c>
      <c r="L45" s="1">
        <v>8</v>
      </c>
      <c r="M45" s="1">
        <f t="shared" si="5"/>
        <v>27.84</v>
      </c>
      <c r="N45" s="1">
        <f t="shared" si="6"/>
        <v>4</v>
      </c>
    </row>
    <row r="46" spans="1:14" x14ac:dyDescent="0.15">
      <c r="H46" s="22"/>
      <c r="I46" s="1">
        <v>80</v>
      </c>
      <c r="J46" s="1">
        <v>200</v>
      </c>
      <c r="K46" s="1">
        <v>28</v>
      </c>
      <c r="L46" s="1">
        <v>12</v>
      </c>
      <c r="M46" s="1">
        <f t="shared" si="5"/>
        <v>34.72</v>
      </c>
      <c r="N46" s="1">
        <f t="shared" si="6"/>
        <v>5</v>
      </c>
    </row>
    <row r="47" spans="1:14" x14ac:dyDescent="0.15">
      <c r="H47" s="22"/>
      <c r="I47" s="1">
        <v>80</v>
      </c>
      <c r="J47" s="1">
        <v>200</v>
      </c>
      <c r="K47" s="1">
        <v>32</v>
      </c>
      <c r="L47" s="1">
        <v>12</v>
      </c>
      <c r="M47" s="1">
        <f t="shared" si="5"/>
        <v>39.68</v>
      </c>
      <c r="N47" s="1">
        <f t="shared" si="6"/>
        <v>5</v>
      </c>
    </row>
    <row r="48" spans="1:14" x14ac:dyDescent="0.15">
      <c r="H48" s="22"/>
      <c r="I48" s="1">
        <v>80</v>
      </c>
      <c r="J48" s="1">
        <v>200</v>
      </c>
      <c r="K48" s="1">
        <v>36</v>
      </c>
      <c r="L48" s="1">
        <v>12</v>
      </c>
      <c r="M48" s="1">
        <f t="shared" si="5"/>
        <v>44.64</v>
      </c>
      <c r="N48" s="1">
        <f t="shared" si="6"/>
        <v>6</v>
      </c>
    </row>
    <row r="49" spans="8:14" x14ac:dyDescent="0.15">
      <c r="H49" s="22"/>
      <c r="I49" s="1">
        <v>80</v>
      </c>
      <c r="J49" s="1">
        <v>200</v>
      </c>
      <c r="K49" s="1">
        <v>40</v>
      </c>
      <c r="L49" s="1">
        <v>12</v>
      </c>
      <c r="M49" s="1">
        <f t="shared" si="5"/>
        <v>49.6</v>
      </c>
      <c r="N49" s="1">
        <f t="shared" si="6"/>
        <v>7</v>
      </c>
    </row>
    <row r="50" spans="8:14" x14ac:dyDescent="0.15">
      <c r="H50" s="23"/>
      <c r="I50" s="1">
        <v>80</v>
      </c>
      <c r="J50" s="1">
        <v>200</v>
      </c>
      <c r="K50" s="1">
        <v>40</v>
      </c>
      <c r="L50" s="1">
        <v>16</v>
      </c>
      <c r="M50" s="1">
        <f t="shared" si="5"/>
        <v>52.8</v>
      </c>
      <c r="N50" s="1">
        <f t="shared" si="6"/>
        <v>8</v>
      </c>
    </row>
    <row r="51" spans="8:14" x14ac:dyDescent="0.15">
      <c r="H51" s="21">
        <v>4</v>
      </c>
      <c r="I51" s="1">
        <v>120</v>
      </c>
      <c r="J51" s="1">
        <v>240</v>
      </c>
      <c r="K51" s="1">
        <v>44</v>
      </c>
      <c r="L51" s="1">
        <v>16</v>
      </c>
      <c r="M51" s="1">
        <f t="shared" si="5"/>
        <v>58.08</v>
      </c>
      <c r="N51" s="1">
        <f t="shared" si="6"/>
        <v>4</v>
      </c>
    </row>
    <row r="52" spans="8:14" x14ac:dyDescent="0.15">
      <c r="H52" s="22"/>
      <c r="I52" s="1">
        <v>120</v>
      </c>
      <c r="J52" s="1">
        <v>240</v>
      </c>
      <c r="K52" s="1">
        <v>52</v>
      </c>
      <c r="L52" s="1">
        <v>20</v>
      </c>
      <c r="M52" s="1">
        <f t="shared" si="5"/>
        <v>72.8</v>
      </c>
      <c r="N52" s="1">
        <f t="shared" si="6"/>
        <v>6</v>
      </c>
    </row>
    <row r="53" spans="8:14" x14ac:dyDescent="0.15">
      <c r="H53" s="23"/>
      <c r="I53" s="1">
        <v>120</v>
      </c>
      <c r="J53" s="1">
        <v>240</v>
      </c>
      <c r="K53" s="1">
        <v>56</v>
      </c>
      <c r="L53" s="1">
        <v>24</v>
      </c>
      <c r="M53" s="1">
        <f t="shared" si="5"/>
        <v>82.88</v>
      </c>
      <c r="N53" s="1">
        <f t="shared" si="6"/>
        <v>7</v>
      </c>
    </row>
    <row r="54" spans="8:14" x14ac:dyDescent="0.15">
      <c r="H54" s="21">
        <v>5</v>
      </c>
      <c r="I54" s="1">
        <v>200</v>
      </c>
      <c r="J54" s="1">
        <v>400</v>
      </c>
      <c r="K54" s="1">
        <v>60</v>
      </c>
      <c r="L54" s="1">
        <v>28</v>
      </c>
      <c r="M54" s="1">
        <f t="shared" si="5"/>
        <v>93.6</v>
      </c>
      <c r="N54" s="1">
        <f t="shared" si="6"/>
        <v>4</v>
      </c>
    </row>
    <row r="55" spans="8:14" x14ac:dyDescent="0.15">
      <c r="H55" s="22"/>
      <c r="I55" s="1">
        <v>200</v>
      </c>
      <c r="J55" s="1">
        <v>400</v>
      </c>
      <c r="K55" s="1">
        <v>64</v>
      </c>
      <c r="L55" s="1">
        <v>32</v>
      </c>
      <c r="M55" s="1">
        <f t="shared" si="5"/>
        <v>104.96</v>
      </c>
      <c r="N55" s="1">
        <f t="shared" si="6"/>
        <v>5</v>
      </c>
    </row>
    <row r="56" spans="8:14" x14ac:dyDescent="0.15">
      <c r="H56" s="22"/>
      <c r="I56" s="1">
        <v>200</v>
      </c>
      <c r="J56" s="1">
        <v>400</v>
      </c>
      <c r="K56" s="1">
        <v>68</v>
      </c>
      <c r="L56" s="1">
        <v>36</v>
      </c>
      <c r="M56" s="1">
        <f t="shared" si="5"/>
        <v>116.96</v>
      </c>
      <c r="N56" s="1">
        <f t="shared" si="6"/>
        <v>5</v>
      </c>
    </row>
    <row r="57" spans="8:14" x14ac:dyDescent="0.15">
      <c r="H57" s="23"/>
      <c r="I57" s="1">
        <v>200</v>
      </c>
      <c r="J57" s="1">
        <v>400</v>
      </c>
      <c r="K57" s="1">
        <v>72</v>
      </c>
      <c r="L57" s="1">
        <v>40</v>
      </c>
      <c r="M57" s="1">
        <f t="shared" si="5"/>
        <v>129.6</v>
      </c>
      <c r="N57" s="1">
        <f t="shared" si="6"/>
        <v>6</v>
      </c>
    </row>
  </sheetData>
  <mergeCells count="29">
    <mergeCell ref="H45:H50"/>
    <mergeCell ref="H51:H53"/>
    <mergeCell ref="H54:H57"/>
    <mergeCell ref="M5:O5"/>
    <mergeCell ref="H34:I34"/>
    <mergeCell ref="H35:L35"/>
    <mergeCell ref="H5:H6"/>
    <mergeCell ref="H7:H10"/>
    <mergeCell ref="H11:H14"/>
    <mergeCell ref="H15:H20"/>
    <mergeCell ref="H21:H23"/>
    <mergeCell ref="H24:H27"/>
    <mergeCell ref="I5:I6"/>
    <mergeCell ref="J5:L5"/>
    <mergeCell ref="A1:E2"/>
    <mergeCell ref="H1:L2"/>
    <mergeCell ref="H32:N33"/>
    <mergeCell ref="H37:H40"/>
    <mergeCell ref="H41:H44"/>
    <mergeCell ref="A7:A10"/>
    <mergeCell ref="A11:A14"/>
    <mergeCell ref="A15:A20"/>
    <mergeCell ref="A21:A23"/>
    <mergeCell ref="A24:A27"/>
    <mergeCell ref="A3:B3"/>
    <mergeCell ref="H3:I3"/>
    <mergeCell ref="A4:D4"/>
    <mergeCell ref="H4:J4"/>
    <mergeCell ref="A5:B5"/>
  </mergeCells>
  <phoneticPr fontId="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数值投放!E8</xm:f>
              <xm:sqref>E8</xm:sqref>
            </x14:sparkline>
            <x14:sparkline>
              <xm:f>数值投放!E9</xm:f>
              <xm:sqref>E9</xm:sqref>
            </x14:sparkline>
            <x14:sparkline>
              <xm:f>数值投放!E10</xm:f>
              <xm:sqref>E10</xm:sqref>
            </x14:sparkline>
            <x14:sparkline>
              <xm:f>数值投放!E11</xm:f>
              <xm:sqref>E11</xm:sqref>
            </x14:sparkline>
            <x14:sparkline>
              <xm:f>数值投放!E12</xm:f>
              <xm:sqref>E12</xm:sqref>
            </x14:sparkline>
            <x14:sparkline>
              <xm:f>数值投放!E13</xm:f>
              <xm:sqref>E13</xm:sqref>
            </x14:sparkline>
            <x14:sparkline>
              <xm:f>数值投放!E14</xm:f>
              <xm:sqref>E14</xm:sqref>
            </x14:sparkline>
            <x14:sparkline>
              <xm:f>数值投放!E15</xm:f>
              <xm:sqref>E15</xm:sqref>
            </x14:sparkline>
            <x14:sparkline>
              <xm:f>数值投放!E16</xm:f>
              <xm:sqref>E16</xm:sqref>
            </x14:sparkline>
            <x14:sparkline>
              <xm:f>数值投放!E17</xm:f>
              <xm:sqref>E17</xm:sqref>
            </x14:sparkline>
            <x14:sparkline>
              <xm:f>数值投放!E18</xm:f>
              <xm:sqref>E18</xm:sqref>
            </x14:sparkline>
            <x14:sparkline>
              <xm:f>数值投放!E19</xm:f>
              <xm:sqref>E19</xm:sqref>
            </x14:sparkline>
            <x14:sparkline>
              <xm:f>数值投放!E20</xm:f>
              <xm:sqref>E20</xm:sqref>
            </x14:sparkline>
            <x14:sparkline>
              <xm:f>数值投放!E21</xm:f>
              <xm:sqref>E21</xm:sqref>
            </x14:sparkline>
            <x14:sparkline>
              <xm:f>数值投放!E22</xm:f>
              <xm:sqref>E22</xm:sqref>
            </x14:sparkline>
            <x14:sparkline>
              <xm:f>数值投放!E23</xm:f>
              <xm:sqref>E23</xm:sqref>
            </x14:sparkline>
            <x14:sparkline>
              <xm:f>数值投放!E24</xm:f>
              <xm:sqref>E24</xm:sqref>
            </x14:sparkline>
            <x14:sparkline>
              <xm:f>数值投放!E25</xm:f>
              <xm:sqref>E25</xm:sqref>
            </x14:sparkline>
            <x14:sparkline>
              <xm:f>数值投放!E26</xm:f>
              <xm:sqref>E26</xm:sqref>
            </x14:sparkline>
            <x14:sparkline>
              <xm:f>数值投放!E27</xm:f>
              <xm:sqref>E27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1"/>
  <sheetViews>
    <sheetView workbookViewId="0">
      <selection activeCell="R10" sqref="R10"/>
    </sheetView>
  </sheetViews>
  <sheetFormatPr defaultColWidth="9" defaultRowHeight="13.5" x14ac:dyDescent="0.15"/>
  <sheetData>
    <row r="1" spans="1:20" x14ac:dyDescent="0.15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4"/>
      <c r="P1" s="4"/>
    </row>
    <row r="2" spans="1:20" x14ac:dyDescent="0.15">
      <c r="A2" s="32" t="s">
        <v>26</v>
      </c>
      <c r="B2" s="32"/>
      <c r="C2" s="32"/>
      <c r="D2" s="32"/>
      <c r="E2" s="32"/>
      <c r="F2" s="32"/>
      <c r="G2" s="32"/>
      <c r="H2" s="25" t="s">
        <v>27</v>
      </c>
      <c r="I2" s="25"/>
      <c r="J2" s="25"/>
      <c r="K2" s="32" t="s">
        <v>28</v>
      </c>
      <c r="L2" s="32"/>
      <c r="M2" s="32"/>
      <c r="N2" s="32"/>
      <c r="O2" s="4"/>
      <c r="P2" s="4"/>
    </row>
    <row r="3" spans="1:20" x14ac:dyDescent="0.15">
      <c r="A3" s="33" t="s">
        <v>29</v>
      </c>
      <c r="B3" s="33"/>
      <c r="C3" s="33"/>
      <c r="D3" s="33"/>
      <c r="E3" s="33"/>
      <c r="F3" s="33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0" x14ac:dyDescent="0.1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4"/>
      <c r="N4" s="4"/>
      <c r="O4" s="4"/>
      <c r="P4" s="4"/>
    </row>
    <row r="5" spans="1:20" x14ac:dyDescent="0.15">
      <c r="A5" s="2" t="s">
        <v>36</v>
      </c>
      <c r="B5" s="2">
        <v>3</v>
      </c>
      <c r="C5" s="2">
        <v>1.6</v>
      </c>
      <c r="D5" s="5">
        <v>1.1000000000000001</v>
      </c>
      <c r="E5" s="5">
        <v>1</v>
      </c>
      <c r="F5" s="2">
        <v>3</v>
      </c>
      <c r="G5" s="4"/>
      <c r="N5" s="4"/>
      <c r="O5" s="4"/>
      <c r="P5" s="4"/>
    </row>
    <row r="6" spans="1:20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0" x14ac:dyDescent="0.15">
      <c r="A7" s="18" t="s">
        <v>37</v>
      </c>
      <c r="B7" s="18"/>
      <c r="C7" s="18"/>
      <c r="D7" s="18"/>
      <c r="E7" s="18"/>
      <c r="F7" s="24" t="s">
        <v>38</v>
      </c>
      <c r="G7" s="24"/>
      <c r="H7" s="24"/>
      <c r="I7" s="24"/>
      <c r="J7" s="24"/>
      <c r="K7" s="32" t="s">
        <v>39</v>
      </c>
      <c r="L7" s="32"/>
      <c r="M7" s="25" t="s">
        <v>40</v>
      </c>
      <c r="N7" s="25"/>
      <c r="O7" s="25"/>
      <c r="P7" s="25"/>
      <c r="Q7" s="25"/>
      <c r="R7" s="25"/>
      <c r="S7" s="25"/>
      <c r="T7" s="25"/>
    </row>
    <row r="8" spans="1:20" x14ac:dyDescent="0.1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41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52</v>
      </c>
      <c r="N8" s="4" t="s">
        <v>53</v>
      </c>
      <c r="O8" s="2" t="s">
        <v>54</v>
      </c>
      <c r="P8" s="2" t="s">
        <v>22</v>
      </c>
      <c r="Q8" s="2" t="s">
        <v>4</v>
      </c>
      <c r="R8" s="2" t="s">
        <v>55</v>
      </c>
      <c r="S8" s="2" t="s">
        <v>56</v>
      </c>
      <c r="T8" s="2" t="s">
        <v>20</v>
      </c>
    </row>
    <row r="9" spans="1:20" x14ac:dyDescent="0.15">
      <c r="A9" s="2">
        <v>1</v>
      </c>
      <c r="B9" s="2">
        <v>6</v>
      </c>
      <c r="C9" s="2"/>
      <c r="D9" s="2"/>
      <c r="E9" s="2"/>
      <c r="F9" s="2">
        <v>1</v>
      </c>
      <c r="G9" s="2"/>
      <c r="H9" s="5">
        <v>1.1000000000000001</v>
      </c>
      <c r="I9" s="5">
        <v>1</v>
      </c>
      <c r="J9" s="2"/>
      <c r="K9" s="5">
        <v>0</v>
      </c>
      <c r="L9" s="2">
        <f>1+K9*F5</f>
        <v>1</v>
      </c>
      <c r="M9" s="2">
        <f>(B5+B9)*H9*L9*E5</f>
        <v>9.9</v>
      </c>
      <c r="N9" s="2">
        <v>10</v>
      </c>
      <c r="O9" s="2">
        <f>C5*I9</f>
        <v>1.6</v>
      </c>
      <c r="P9" s="2"/>
      <c r="Q9" s="2">
        <v>2</v>
      </c>
      <c r="R9" s="2">
        <f>O9*(M9-Q9)</f>
        <v>12.64</v>
      </c>
      <c r="S9" s="2">
        <v>12</v>
      </c>
      <c r="T9" s="2">
        <f t="shared" ref="T9:T29" si="0">R9-S9</f>
        <v>0.64000000000000101</v>
      </c>
    </row>
    <row r="10" spans="1:20" x14ac:dyDescent="0.15">
      <c r="A10" s="2">
        <v>2</v>
      </c>
      <c r="B10" s="2">
        <v>7</v>
      </c>
      <c r="C10" s="2"/>
      <c r="D10" s="2"/>
      <c r="E10" s="2"/>
      <c r="F10" s="2">
        <v>2</v>
      </c>
      <c r="G10" s="2"/>
      <c r="H10" s="5">
        <v>1.1000000000000001</v>
      </c>
      <c r="I10" s="5">
        <v>1</v>
      </c>
      <c r="J10" s="2"/>
      <c r="K10" s="5">
        <v>0</v>
      </c>
      <c r="L10" s="2">
        <f>1+K10*F5</f>
        <v>1</v>
      </c>
      <c r="M10" s="2">
        <f>(B5+B10)*H10*L10*E5</f>
        <v>11</v>
      </c>
      <c r="N10" s="2">
        <v>11</v>
      </c>
      <c r="O10" s="2">
        <f>C5*I10</f>
        <v>1.6</v>
      </c>
      <c r="P10" s="2"/>
      <c r="Q10" s="2">
        <v>2</v>
      </c>
      <c r="R10" s="2">
        <f t="shared" ref="R10:R29" si="1">O10*(M10-Q10)</f>
        <v>14.4</v>
      </c>
      <c r="S10" s="2">
        <v>14</v>
      </c>
      <c r="T10" s="2">
        <f t="shared" si="0"/>
        <v>0.4</v>
      </c>
    </row>
    <row r="11" spans="1:20" x14ac:dyDescent="0.15">
      <c r="A11" s="2">
        <v>3</v>
      </c>
      <c r="B11" s="2">
        <v>8</v>
      </c>
      <c r="C11" s="2"/>
      <c r="D11" s="2"/>
      <c r="E11" s="2"/>
      <c r="F11" s="2">
        <v>3</v>
      </c>
      <c r="G11" s="2"/>
      <c r="H11" s="5">
        <v>1.1000000000000001</v>
      </c>
      <c r="I11" s="5">
        <v>1</v>
      </c>
      <c r="J11" s="2"/>
      <c r="K11" s="5">
        <v>0</v>
      </c>
      <c r="L11" s="2">
        <f>1+K11*F5</f>
        <v>1</v>
      </c>
      <c r="M11" s="2">
        <f>(B5+B11)*H11*L11*E5</f>
        <v>12.1</v>
      </c>
      <c r="N11" s="2">
        <v>12</v>
      </c>
      <c r="O11" s="2">
        <f>C5*I11</f>
        <v>1.6</v>
      </c>
      <c r="P11" s="2"/>
      <c r="Q11" s="2">
        <v>2</v>
      </c>
      <c r="R11" s="2">
        <f t="shared" si="1"/>
        <v>16.16</v>
      </c>
      <c r="S11" s="2">
        <v>16</v>
      </c>
      <c r="T11" s="2">
        <f t="shared" si="0"/>
        <v>0.160000000000004</v>
      </c>
    </row>
    <row r="12" spans="1:20" x14ac:dyDescent="0.15">
      <c r="A12" s="2">
        <v>4</v>
      </c>
      <c r="B12" s="2">
        <v>10</v>
      </c>
      <c r="C12" s="2"/>
      <c r="D12" s="2"/>
      <c r="E12" s="2"/>
      <c r="F12" s="2">
        <v>4</v>
      </c>
      <c r="G12" s="2"/>
      <c r="H12" s="5">
        <v>1.2</v>
      </c>
      <c r="I12" s="5">
        <v>1</v>
      </c>
      <c r="J12" s="2"/>
      <c r="K12" s="5">
        <v>0</v>
      </c>
      <c r="L12" s="2">
        <f>1+K12*F5</f>
        <v>1</v>
      </c>
      <c r="M12" s="2">
        <f>(B5+B12)*H12*L12*E5</f>
        <v>15.6</v>
      </c>
      <c r="N12" s="2">
        <v>16</v>
      </c>
      <c r="O12" s="2">
        <f>C5*I12</f>
        <v>1.6</v>
      </c>
      <c r="P12" s="2"/>
      <c r="Q12" s="2">
        <v>2</v>
      </c>
      <c r="R12" s="2">
        <f t="shared" si="1"/>
        <v>21.76</v>
      </c>
      <c r="S12" s="2">
        <v>21</v>
      </c>
      <c r="T12" s="2">
        <f t="shared" si="0"/>
        <v>0.76000000000000201</v>
      </c>
    </row>
    <row r="13" spans="1:20" x14ac:dyDescent="0.15">
      <c r="A13" s="2">
        <v>5</v>
      </c>
      <c r="B13" s="2">
        <v>17</v>
      </c>
      <c r="C13" s="2"/>
      <c r="D13" s="2"/>
      <c r="E13" s="2"/>
      <c r="F13" s="2">
        <v>5</v>
      </c>
      <c r="G13" s="2"/>
      <c r="H13" s="5">
        <v>1.3</v>
      </c>
      <c r="I13" s="5">
        <v>1.05</v>
      </c>
      <c r="J13" s="2"/>
      <c r="K13" s="5">
        <v>0</v>
      </c>
      <c r="L13" s="2">
        <f>1+K13*F5</f>
        <v>1</v>
      </c>
      <c r="M13" s="2">
        <f>(B5+B13)*H13*L13*E5</f>
        <v>26</v>
      </c>
      <c r="N13" s="2">
        <v>26</v>
      </c>
      <c r="O13" s="2">
        <f>C5*I13</f>
        <v>1.68</v>
      </c>
      <c r="P13" s="2"/>
      <c r="Q13" s="2">
        <v>5</v>
      </c>
      <c r="R13" s="2">
        <f t="shared" si="1"/>
        <v>35.28</v>
      </c>
      <c r="S13" s="2">
        <v>35</v>
      </c>
      <c r="T13" s="2">
        <f t="shared" si="0"/>
        <v>0.28000000000000103</v>
      </c>
    </row>
    <row r="14" spans="1:20" x14ac:dyDescent="0.15">
      <c r="A14" s="2">
        <v>6</v>
      </c>
      <c r="B14" s="2">
        <v>20</v>
      </c>
      <c r="C14" s="2"/>
      <c r="D14" s="2"/>
      <c r="E14" s="2"/>
      <c r="F14" s="2">
        <v>6</v>
      </c>
      <c r="G14" s="2"/>
      <c r="H14" s="5">
        <v>1.3</v>
      </c>
      <c r="I14" s="5">
        <v>1.05</v>
      </c>
      <c r="J14" s="2"/>
      <c r="K14" s="5">
        <v>0</v>
      </c>
      <c r="L14" s="2">
        <f>1+K14*F5</f>
        <v>1</v>
      </c>
      <c r="M14" s="2">
        <f>(B5+B14)*H14*L14*E5</f>
        <v>29.9</v>
      </c>
      <c r="N14" s="2">
        <v>30</v>
      </c>
      <c r="O14" s="2">
        <f>C5*I14</f>
        <v>1.68</v>
      </c>
      <c r="P14" s="2"/>
      <c r="Q14" s="2">
        <v>5</v>
      </c>
      <c r="R14" s="2">
        <f t="shared" si="1"/>
        <v>41.832000000000001</v>
      </c>
      <c r="S14" s="2">
        <v>41</v>
      </c>
      <c r="T14" s="2">
        <f t="shared" si="0"/>
        <v>0.83200000000000796</v>
      </c>
    </row>
    <row r="15" spans="1:20" x14ac:dyDescent="0.15">
      <c r="A15" s="2">
        <v>7</v>
      </c>
      <c r="B15" s="2">
        <v>23</v>
      </c>
      <c r="C15" s="2"/>
      <c r="D15" s="2"/>
      <c r="E15" s="2"/>
      <c r="F15" s="2">
        <v>7</v>
      </c>
      <c r="G15" s="2"/>
      <c r="H15" s="5">
        <v>1.3</v>
      </c>
      <c r="I15" s="5">
        <v>1.05</v>
      </c>
      <c r="J15" s="2"/>
      <c r="K15" s="5">
        <v>0</v>
      </c>
      <c r="L15" s="2">
        <f>1+K15*F5</f>
        <v>1</v>
      </c>
      <c r="M15" s="2">
        <f>(B5+B15)*H15*L15*E5</f>
        <v>33.799999999999997</v>
      </c>
      <c r="N15" s="2">
        <v>34</v>
      </c>
      <c r="O15" s="2">
        <f>C5*I15</f>
        <v>1.68</v>
      </c>
      <c r="P15" s="2"/>
      <c r="Q15" s="2">
        <v>5</v>
      </c>
      <c r="R15" s="2">
        <f t="shared" si="1"/>
        <v>48.384</v>
      </c>
      <c r="S15" s="2">
        <v>48</v>
      </c>
      <c r="T15" s="2">
        <f t="shared" si="0"/>
        <v>0.384000000000015</v>
      </c>
    </row>
    <row r="16" spans="1:20" x14ac:dyDescent="0.15">
      <c r="A16" s="2">
        <v>8</v>
      </c>
      <c r="B16" s="2">
        <v>25</v>
      </c>
      <c r="C16" s="2"/>
      <c r="D16" s="2"/>
      <c r="E16" s="2"/>
      <c r="F16" s="2">
        <v>8</v>
      </c>
      <c r="G16" s="2"/>
      <c r="H16" s="5">
        <v>1.35</v>
      </c>
      <c r="I16" s="5">
        <v>1.05</v>
      </c>
      <c r="J16" s="2"/>
      <c r="K16" s="5">
        <v>0</v>
      </c>
      <c r="L16" s="2">
        <f>1+K16*F5</f>
        <v>1</v>
      </c>
      <c r="M16" s="2">
        <f>(B5+B16)*H16*L16*E5</f>
        <v>37.799999999999997</v>
      </c>
      <c r="N16" s="2">
        <v>38</v>
      </c>
      <c r="O16" s="2">
        <f>C5*I16</f>
        <v>1.68</v>
      </c>
      <c r="P16" s="2"/>
      <c r="Q16" s="2">
        <v>5</v>
      </c>
      <c r="R16" s="2">
        <f t="shared" si="1"/>
        <v>55.103999999999999</v>
      </c>
      <c r="S16" s="2">
        <v>55</v>
      </c>
      <c r="T16" s="2">
        <f t="shared" si="0"/>
        <v>0.104000000000013</v>
      </c>
    </row>
    <row r="17" spans="1:20" x14ac:dyDescent="0.15">
      <c r="A17" s="2">
        <v>9</v>
      </c>
      <c r="B17" s="2">
        <v>52</v>
      </c>
      <c r="C17" s="2"/>
      <c r="D17" s="2"/>
      <c r="E17" s="2"/>
      <c r="F17" s="2">
        <v>9</v>
      </c>
      <c r="G17" s="2"/>
      <c r="H17" s="5">
        <v>1.5</v>
      </c>
      <c r="I17" s="5">
        <v>1.1000000000000001</v>
      </c>
      <c r="J17" s="2"/>
      <c r="K17" s="5">
        <v>0</v>
      </c>
      <c r="L17" s="2">
        <f>1+K17*F5</f>
        <v>1</v>
      </c>
      <c r="M17" s="2">
        <f>(B5+B17)*H17*L17*E5</f>
        <v>82.5</v>
      </c>
      <c r="N17" s="2">
        <v>82</v>
      </c>
      <c r="O17" s="2">
        <f>C5*I17</f>
        <v>1.76</v>
      </c>
      <c r="P17" s="2"/>
      <c r="Q17" s="2">
        <v>20</v>
      </c>
      <c r="R17" s="2">
        <f t="shared" si="1"/>
        <v>110</v>
      </c>
      <c r="S17" s="2">
        <v>110</v>
      </c>
      <c r="T17" s="2">
        <f t="shared" si="0"/>
        <v>0</v>
      </c>
    </row>
    <row r="18" spans="1:20" x14ac:dyDescent="0.15">
      <c r="A18" s="2">
        <v>10</v>
      </c>
      <c r="B18" s="2">
        <v>57</v>
      </c>
      <c r="C18" s="2"/>
      <c r="D18" s="2"/>
      <c r="E18" s="2"/>
      <c r="F18" s="2">
        <v>10</v>
      </c>
      <c r="G18" s="2"/>
      <c r="H18" s="5">
        <v>1.5</v>
      </c>
      <c r="I18" s="5">
        <v>1.1000000000000001</v>
      </c>
      <c r="J18" s="2"/>
      <c r="K18" s="5">
        <v>0</v>
      </c>
      <c r="L18" s="2">
        <f>1+K18*F5</f>
        <v>1</v>
      </c>
      <c r="M18" s="2">
        <f>(B5+B18)*H18*L18*E5</f>
        <v>90</v>
      </c>
      <c r="N18" s="2">
        <v>91</v>
      </c>
      <c r="O18" s="2">
        <f>C5*I18</f>
        <v>1.76</v>
      </c>
      <c r="P18" s="2"/>
      <c r="Q18" s="2">
        <v>20</v>
      </c>
      <c r="R18" s="2">
        <f t="shared" si="1"/>
        <v>123.2</v>
      </c>
      <c r="S18" s="2">
        <v>123</v>
      </c>
      <c r="T18" s="2">
        <f t="shared" si="0"/>
        <v>0.200000000000017</v>
      </c>
    </row>
    <row r="19" spans="1:20" x14ac:dyDescent="0.15">
      <c r="A19" s="2">
        <v>11</v>
      </c>
      <c r="B19" s="2">
        <v>62</v>
      </c>
      <c r="C19" s="2"/>
      <c r="D19" s="2"/>
      <c r="E19" s="2"/>
      <c r="F19" s="2">
        <v>11</v>
      </c>
      <c r="G19" s="2"/>
      <c r="H19" s="5">
        <v>1.5</v>
      </c>
      <c r="I19" s="5">
        <v>1.1000000000000001</v>
      </c>
      <c r="J19" s="2"/>
      <c r="K19" s="5">
        <v>0</v>
      </c>
      <c r="L19" s="2">
        <f>1+K19*F5</f>
        <v>1</v>
      </c>
      <c r="M19" s="2">
        <f>(B5+B19)*H19*L19*E5</f>
        <v>97.5</v>
      </c>
      <c r="N19" s="2">
        <v>100</v>
      </c>
      <c r="O19" s="2">
        <f>C5*I19</f>
        <v>1.76</v>
      </c>
      <c r="P19" s="2"/>
      <c r="Q19" s="2">
        <v>20</v>
      </c>
      <c r="R19" s="2">
        <f t="shared" si="1"/>
        <v>136.4</v>
      </c>
      <c r="S19" s="2">
        <v>136</v>
      </c>
      <c r="T19" s="2">
        <f t="shared" si="0"/>
        <v>0.40000000000000602</v>
      </c>
    </row>
    <row r="20" spans="1:20" x14ac:dyDescent="0.15">
      <c r="A20" s="2">
        <v>12</v>
      </c>
      <c r="B20" s="2">
        <v>70</v>
      </c>
      <c r="C20" s="2"/>
      <c r="D20" s="2"/>
      <c r="E20" s="2"/>
      <c r="F20" s="2">
        <v>12</v>
      </c>
      <c r="G20" s="2"/>
      <c r="H20" s="5">
        <v>1.5</v>
      </c>
      <c r="I20" s="5">
        <v>1.1000000000000001</v>
      </c>
      <c r="J20" s="2"/>
      <c r="K20" s="5">
        <v>0</v>
      </c>
      <c r="L20" s="2">
        <f>1+K20*F5</f>
        <v>1</v>
      </c>
      <c r="M20" s="2">
        <f>(B5+B20)*H20*L20*E5</f>
        <v>109.5</v>
      </c>
      <c r="N20" s="2">
        <v>109</v>
      </c>
      <c r="O20" s="2">
        <f>C5*I20</f>
        <v>1.76</v>
      </c>
      <c r="P20" s="2"/>
      <c r="Q20" s="2">
        <v>20</v>
      </c>
      <c r="R20" s="2">
        <f t="shared" si="1"/>
        <v>157.52000000000001</v>
      </c>
      <c r="S20" s="2">
        <v>157</v>
      </c>
      <c r="T20" s="2">
        <f t="shared" si="0"/>
        <v>0.52000000000001001</v>
      </c>
    </row>
    <row r="21" spans="1:20" x14ac:dyDescent="0.15">
      <c r="A21" s="2">
        <v>13</v>
      </c>
      <c r="B21" s="2">
        <v>72</v>
      </c>
      <c r="C21" s="2"/>
      <c r="D21" s="2"/>
      <c r="E21" s="2"/>
      <c r="F21" s="2">
        <v>13</v>
      </c>
      <c r="G21" s="2"/>
      <c r="H21" s="5">
        <v>1.6</v>
      </c>
      <c r="I21" s="5">
        <v>1.1000000000000001</v>
      </c>
      <c r="J21" s="2"/>
      <c r="K21" s="5">
        <v>0</v>
      </c>
      <c r="L21" s="2">
        <f>1+K21*F5</f>
        <v>1</v>
      </c>
      <c r="M21" s="2">
        <f>(B5+B21)*H21*L21*E5</f>
        <v>120</v>
      </c>
      <c r="N21" s="2">
        <v>118</v>
      </c>
      <c r="O21" s="2">
        <f>C5*I21</f>
        <v>1.76</v>
      </c>
      <c r="P21" s="2"/>
      <c r="Q21" s="2">
        <v>20</v>
      </c>
      <c r="R21" s="2">
        <f t="shared" si="1"/>
        <v>176</v>
      </c>
      <c r="S21" s="2">
        <v>176</v>
      </c>
      <c r="T21" s="2">
        <f t="shared" si="0"/>
        <v>0</v>
      </c>
    </row>
    <row r="22" spans="1:20" x14ac:dyDescent="0.15">
      <c r="A22" s="2">
        <v>14</v>
      </c>
      <c r="B22" s="2">
        <v>76</v>
      </c>
      <c r="C22" s="2"/>
      <c r="D22" s="2"/>
      <c r="E22" s="2"/>
      <c r="F22" s="2">
        <v>14</v>
      </c>
      <c r="G22" s="2"/>
      <c r="H22" s="5">
        <v>1.6</v>
      </c>
      <c r="I22" s="5">
        <v>1.1000000000000001</v>
      </c>
      <c r="J22" s="2"/>
      <c r="K22" s="5">
        <v>0</v>
      </c>
      <c r="L22" s="2">
        <f>1+K22*F5</f>
        <v>1</v>
      </c>
      <c r="M22" s="2">
        <f>(B5+B22)*H22*L22*E5</f>
        <v>126.4</v>
      </c>
      <c r="N22" s="2">
        <v>127</v>
      </c>
      <c r="O22" s="2">
        <f>C5*I22</f>
        <v>1.76</v>
      </c>
      <c r="P22" s="2"/>
      <c r="Q22" s="2">
        <v>20</v>
      </c>
      <c r="R22" s="2">
        <f t="shared" si="1"/>
        <v>187.26400000000001</v>
      </c>
      <c r="S22" s="2">
        <v>187</v>
      </c>
      <c r="T22" s="2">
        <f t="shared" si="0"/>
        <v>0.26400000000003798</v>
      </c>
    </row>
    <row r="23" spans="1:20" x14ac:dyDescent="0.15">
      <c r="A23" s="2">
        <v>15</v>
      </c>
      <c r="B23" s="2">
        <v>135</v>
      </c>
      <c r="C23" s="2"/>
      <c r="D23" s="2"/>
      <c r="E23" s="2"/>
      <c r="F23" s="2">
        <v>15</v>
      </c>
      <c r="G23" s="2"/>
      <c r="H23" s="5">
        <v>1.7</v>
      </c>
      <c r="I23" s="5">
        <v>1.1499999999999999</v>
      </c>
      <c r="J23" s="2"/>
      <c r="K23" s="5">
        <v>0</v>
      </c>
      <c r="L23" s="2">
        <f>1+K23*F5</f>
        <v>1</v>
      </c>
      <c r="M23" s="2">
        <f>(B5+B23)*H23*L23*E5</f>
        <v>234.6</v>
      </c>
      <c r="N23" s="2">
        <v>234</v>
      </c>
      <c r="O23" s="2">
        <f>C5*I23</f>
        <v>1.84</v>
      </c>
      <c r="P23" s="2"/>
      <c r="Q23" s="2">
        <v>100</v>
      </c>
      <c r="R23" s="2">
        <f t="shared" si="1"/>
        <v>247.66399999999999</v>
      </c>
      <c r="S23" s="2">
        <v>247</v>
      </c>
      <c r="T23" s="2">
        <f t="shared" si="0"/>
        <v>0.66399999999995896</v>
      </c>
    </row>
    <row r="24" spans="1:20" x14ac:dyDescent="0.15">
      <c r="A24" s="2">
        <v>16</v>
      </c>
      <c r="B24" s="2">
        <v>135</v>
      </c>
      <c r="C24" s="2"/>
      <c r="D24" s="2"/>
      <c r="E24" s="2"/>
      <c r="F24" s="2">
        <v>16</v>
      </c>
      <c r="G24" s="2"/>
      <c r="H24" s="5">
        <v>1.8</v>
      </c>
      <c r="I24" s="5">
        <v>1.1499999999999999</v>
      </c>
      <c r="J24" s="2"/>
      <c r="K24" s="5">
        <v>0</v>
      </c>
      <c r="L24" s="2">
        <f>1+K24*F5</f>
        <v>1</v>
      </c>
      <c r="M24" s="2">
        <f>(B5+B24)*H24*L24*E5</f>
        <v>248.4</v>
      </c>
      <c r="N24" s="2">
        <v>250</v>
      </c>
      <c r="O24" s="2">
        <f>C5*I24</f>
        <v>1.84</v>
      </c>
      <c r="P24" s="2"/>
      <c r="Q24" s="2">
        <v>100</v>
      </c>
      <c r="R24" s="2">
        <f t="shared" si="1"/>
        <v>273.05599999999998</v>
      </c>
      <c r="S24" s="2">
        <v>273</v>
      </c>
      <c r="T24" s="2">
        <f t="shared" si="0"/>
        <v>5.5999999999983202E-2</v>
      </c>
    </row>
    <row r="25" spans="1:20" x14ac:dyDescent="0.15">
      <c r="A25" s="2">
        <v>17</v>
      </c>
      <c r="B25" s="2">
        <v>145</v>
      </c>
      <c r="C25" s="2"/>
      <c r="D25" s="2"/>
      <c r="E25" s="2"/>
      <c r="F25" s="2">
        <v>17</v>
      </c>
      <c r="G25" s="2"/>
      <c r="H25" s="5">
        <v>1.8</v>
      </c>
      <c r="I25" s="5">
        <v>1.1499999999999999</v>
      </c>
      <c r="J25" s="2"/>
      <c r="K25" s="5">
        <v>0</v>
      </c>
      <c r="L25" s="2">
        <f>1+K25*F5</f>
        <v>1</v>
      </c>
      <c r="M25" s="2">
        <f>(B5+B25)*H25*L25*E5</f>
        <v>266.39999999999998</v>
      </c>
      <c r="N25" s="2">
        <v>266</v>
      </c>
      <c r="O25" s="2">
        <f>C5*I25</f>
        <v>1.84</v>
      </c>
      <c r="P25" s="2"/>
      <c r="Q25" s="2">
        <v>100</v>
      </c>
      <c r="R25" s="2">
        <f t="shared" si="1"/>
        <v>306.17599999999999</v>
      </c>
      <c r="S25" s="2">
        <v>306</v>
      </c>
      <c r="T25" s="2">
        <f t="shared" si="0"/>
        <v>0.17600000000004501</v>
      </c>
    </row>
    <row r="26" spans="1:20" x14ac:dyDescent="0.15">
      <c r="A26" s="2">
        <v>18</v>
      </c>
      <c r="B26" s="2">
        <v>270</v>
      </c>
      <c r="C26" s="2"/>
      <c r="D26" s="2"/>
      <c r="E26" s="2"/>
      <c r="F26" s="2">
        <v>18</v>
      </c>
      <c r="G26" s="2"/>
      <c r="H26" s="5">
        <v>1.9</v>
      </c>
      <c r="I26" s="5">
        <v>1.2</v>
      </c>
      <c r="J26" s="2"/>
      <c r="K26" s="5">
        <v>0</v>
      </c>
      <c r="L26" s="2">
        <f>1+K26*F5</f>
        <v>1</v>
      </c>
      <c r="M26" s="2">
        <f>(B5+B26)*H26*L26*E5</f>
        <v>518.70000000000005</v>
      </c>
      <c r="N26" s="2">
        <v>520</v>
      </c>
      <c r="O26" s="2">
        <f>C5*I26</f>
        <v>1.92</v>
      </c>
      <c r="P26" s="2"/>
      <c r="Q26" s="2">
        <v>200</v>
      </c>
      <c r="R26" s="2">
        <f t="shared" si="1"/>
        <v>611.904</v>
      </c>
      <c r="S26" s="2">
        <v>611</v>
      </c>
      <c r="T26" s="2">
        <f t="shared" si="0"/>
        <v>0.90399999999988301</v>
      </c>
    </row>
    <row r="27" spans="1:20" x14ac:dyDescent="0.15">
      <c r="A27" s="2">
        <v>19</v>
      </c>
      <c r="B27" s="2">
        <v>295</v>
      </c>
      <c r="C27" s="2"/>
      <c r="D27" s="2"/>
      <c r="E27" s="2"/>
      <c r="F27" s="2">
        <v>19</v>
      </c>
      <c r="G27" s="2"/>
      <c r="H27" s="5">
        <v>1.9</v>
      </c>
      <c r="I27" s="5">
        <v>1.2</v>
      </c>
      <c r="J27" s="2"/>
      <c r="K27" s="5">
        <v>0</v>
      </c>
      <c r="L27" s="2">
        <f>1+K27*F5</f>
        <v>1</v>
      </c>
      <c r="M27" s="2">
        <f>(B5+B27)*H27*L27*E5</f>
        <v>566.20000000000005</v>
      </c>
      <c r="N27" s="2">
        <v>568</v>
      </c>
      <c r="O27" s="2">
        <f>C5*I27</f>
        <v>1.92</v>
      </c>
      <c r="P27" s="2"/>
      <c r="Q27" s="2">
        <v>200</v>
      </c>
      <c r="R27" s="2">
        <f t="shared" si="1"/>
        <v>703.10400000000004</v>
      </c>
      <c r="S27" s="2">
        <v>703</v>
      </c>
      <c r="T27" s="2">
        <f t="shared" si="0"/>
        <v>0.10399999999981401</v>
      </c>
    </row>
    <row r="28" spans="1:20" x14ac:dyDescent="0.15">
      <c r="A28" s="2">
        <v>20</v>
      </c>
      <c r="B28" s="2">
        <v>325</v>
      </c>
      <c r="C28" s="2"/>
      <c r="D28" s="2"/>
      <c r="E28" s="2"/>
      <c r="F28" s="2">
        <v>20</v>
      </c>
      <c r="G28" s="2"/>
      <c r="H28" s="5">
        <v>1.9</v>
      </c>
      <c r="I28" s="5">
        <v>1.2</v>
      </c>
      <c r="J28" s="2"/>
      <c r="K28" s="5">
        <v>0</v>
      </c>
      <c r="L28" s="2">
        <f>1+K28*F5</f>
        <v>1</v>
      </c>
      <c r="M28" s="2">
        <f>(B5+B28)*H28*L28*E5</f>
        <v>623.20000000000005</v>
      </c>
      <c r="N28" s="2">
        <v>618</v>
      </c>
      <c r="O28" s="2">
        <f>C5*I28</f>
        <v>1.92</v>
      </c>
      <c r="P28" s="2"/>
      <c r="Q28" s="2">
        <v>200</v>
      </c>
      <c r="R28" s="2">
        <f t="shared" si="1"/>
        <v>812.54399999999998</v>
      </c>
      <c r="S28" s="2">
        <v>812</v>
      </c>
      <c r="T28" s="2">
        <f t="shared" si="0"/>
        <v>0.54399999999986903</v>
      </c>
    </row>
    <row r="29" spans="1:20" x14ac:dyDescent="0.15">
      <c r="A29" s="2">
        <v>21</v>
      </c>
      <c r="B29" s="2">
        <v>350</v>
      </c>
      <c r="C29" s="2"/>
      <c r="D29" s="2"/>
      <c r="E29" s="2"/>
      <c r="F29" s="2">
        <v>21</v>
      </c>
      <c r="G29" s="2"/>
      <c r="H29" s="5">
        <v>2</v>
      </c>
      <c r="I29" s="5">
        <v>1.2</v>
      </c>
      <c r="J29" s="2"/>
      <c r="K29" s="5">
        <v>0</v>
      </c>
      <c r="L29" s="2">
        <f>1+K29*F5</f>
        <v>1</v>
      </c>
      <c r="M29" s="2">
        <f>(B5+B29)*H29*L29*E5</f>
        <v>706</v>
      </c>
      <c r="N29" s="2">
        <v>710</v>
      </c>
      <c r="O29" s="2">
        <f>C5*I29</f>
        <v>1.92</v>
      </c>
      <c r="P29" s="2"/>
      <c r="Q29" s="2">
        <v>200</v>
      </c>
      <c r="R29" s="2">
        <f t="shared" si="1"/>
        <v>971.52</v>
      </c>
      <c r="S29" s="2">
        <v>971</v>
      </c>
      <c r="T29" s="2">
        <f t="shared" si="0"/>
        <v>0.51999999999998203</v>
      </c>
    </row>
    <row r="34" spans="1:20" x14ac:dyDescent="0.15">
      <c r="A34" s="24" t="s">
        <v>25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4"/>
      <c r="P34" s="4"/>
    </row>
    <row r="35" spans="1:20" x14ac:dyDescent="0.15">
      <c r="A35" s="32" t="s">
        <v>26</v>
      </c>
      <c r="B35" s="32"/>
      <c r="C35" s="32"/>
      <c r="D35" s="32"/>
      <c r="E35" s="32"/>
      <c r="F35" s="32"/>
      <c r="G35" s="32"/>
      <c r="H35" s="25" t="s">
        <v>27</v>
      </c>
      <c r="I35" s="25"/>
      <c r="J35" s="25"/>
      <c r="K35" s="32" t="s">
        <v>28</v>
      </c>
      <c r="L35" s="32"/>
      <c r="M35" s="32"/>
      <c r="N35" s="32"/>
      <c r="O35" s="4"/>
      <c r="P35" s="4"/>
    </row>
    <row r="36" spans="1:20" x14ac:dyDescent="0.15">
      <c r="A36" s="33" t="s">
        <v>29</v>
      </c>
      <c r="B36" s="33"/>
      <c r="C36" s="33"/>
      <c r="D36" s="33"/>
      <c r="E36" s="33"/>
      <c r="F36" s="33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20" x14ac:dyDescent="0.15">
      <c r="A37" s="2" t="s">
        <v>30</v>
      </c>
      <c r="B37" s="2" t="s">
        <v>31</v>
      </c>
      <c r="C37" s="2" t="s">
        <v>32</v>
      </c>
      <c r="D37" s="2" t="s">
        <v>33</v>
      </c>
      <c r="E37" s="2" t="s">
        <v>34</v>
      </c>
      <c r="F37" s="2" t="s">
        <v>35</v>
      </c>
      <c r="G37" s="4"/>
      <c r="N37" s="4"/>
      <c r="O37" s="4"/>
      <c r="P37" s="4"/>
    </row>
    <row r="38" spans="1:20" x14ac:dyDescent="0.15">
      <c r="A38" s="2" t="s">
        <v>57</v>
      </c>
      <c r="B38" s="2">
        <v>3</v>
      </c>
      <c r="C38" s="2">
        <v>2</v>
      </c>
      <c r="D38" s="5">
        <v>1.1000000000000001</v>
      </c>
      <c r="E38" s="5">
        <v>0.87</v>
      </c>
      <c r="F38" s="2">
        <v>2</v>
      </c>
      <c r="G38" s="4"/>
      <c r="N38" s="4"/>
      <c r="O38" s="4"/>
      <c r="P38" s="4"/>
    </row>
    <row r="39" spans="1:20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20" x14ac:dyDescent="0.15">
      <c r="A40" s="18" t="s">
        <v>37</v>
      </c>
      <c r="B40" s="18"/>
      <c r="C40" s="18"/>
      <c r="D40" s="18"/>
      <c r="E40" s="18"/>
      <c r="F40" s="24" t="s">
        <v>38</v>
      </c>
      <c r="G40" s="24"/>
      <c r="H40" s="24"/>
      <c r="I40" s="24"/>
      <c r="J40" s="24"/>
      <c r="K40" s="32" t="s">
        <v>39</v>
      </c>
      <c r="L40" s="32"/>
      <c r="M40" s="25" t="s">
        <v>40</v>
      </c>
      <c r="N40" s="25"/>
      <c r="O40" s="25"/>
      <c r="P40" s="25"/>
      <c r="Q40" s="25"/>
      <c r="R40" s="25"/>
      <c r="S40" s="25"/>
      <c r="T40" s="25"/>
    </row>
    <row r="41" spans="1:20" x14ac:dyDescent="0.15">
      <c r="A41" s="2" t="s">
        <v>41</v>
      </c>
      <c r="B41" s="2" t="s">
        <v>42</v>
      </c>
      <c r="C41" s="2" t="s">
        <v>43</v>
      </c>
      <c r="D41" s="2" t="s">
        <v>44</v>
      </c>
      <c r="E41" s="2" t="s">
        <v>45</v>
      </c>
      <c r="F41" s="2" t="s">
        <v>41</v>
      </c>
      <c r="G41" s="2" t="s">
        <v>46</v>
      </c>
      <c r="H41" s="2" t="s">
        <v>47</v>
      </c>
      <c r="I41" s="2" t="s">
        <v>48</v>
      </c>
      <c r="J41" s="2" t="s">
        <v>49</v>
      </c>
      <c r="K41" s="2" t="s">
        <v>50</v>
      </c>
      <c r="L41" s="2" t="s">
        <v>51</v>
      </c>
      <c r="M41" s="2" t="s">
        <v>52</v>
      </c>
      <c r="N41" s="4" t="s">
        <v>53</v>
      </c>
      <c r="O41" s="2" t="s">
        <v>54</v>
      </c>
      <c r="P41" s="2" t="s">
        <v>22</v>
      </c>
      <c r="Q41" s="2" t="s">
        <v>4</v>
      </c>
      <c r="R41" s="2" t="s">
        <v>55</v>
      </c>
      <c r="S41" s="2" t="s">
        <v>56</v>
      </c>
      <c r="T41" s="2" t="s">
        <v>20</v>
      </c>
    </row>
    <row r="42" spans="1:20" x14ac:dyDescent="0.15">
      <c r="A42" s="2">
        <v>1</v>
      </c>
      <c r="B42" s="2">
        <v>6</v>
      </c>
      <c r="C42" s="2"/>
      <c r="D42" s="2"/>
      <c r="E42" s="2"/>
      <c r="F42" s="2">
        <v>1</v>
      </c>
      <c r="G42" s="2"/>
      <c r="H42" s="5">
        <v>1.1000000000000001</v>
      </c>
      <c r="I42" s="5">
        <v>1</v>
      </c>
      <c r="J42" s="2"/>
      <c r="K42" s="5">
        <v>0</v>
      </c>
      <c r="L42" s="2">
        <f>1+K42*F38</f>
        <v>1</v>
      </c>
      <c r="M42" s="2">
        <f>(B38+B42)*H42*L42*E38</f>
        <v>8.6129999999999995</v>
      </c>
      <c r="N42" s="2">
        <v>10</v>
      </c>
      <c r="O42" s="2">
        <f>C38*I42</f>
        <v>2</v>
      </c>
      <c r="P42" s="2"/>
      <c r="Q42" s="2">
        <v>2</v>
      </c>
      <c r="R42" s="2">
        <f t="shared" ref="R42:R62" si="2">O42*(M42-Q42)</f>
        <v>13.226000000000001</v>
      </c>
      <c r="S42" s="2">
        <v>12</v>
      </c>
      <c r="T42" s="2">
        <f>R42-S42</f>
        <v>1.226</v>
      </c>
    </row>
    <row r="43" spans="1:20" x14ac:dyDescent="0.15">
      <c r="A43" s="2">
        <v>2</v>
      </c>
      <c r="B43" s="2">
        <v>7</v>
      </c>
      <c r="C43" s="2"/>
      <c r="D43" s="2"/>
      <c r="E43" s="2"/>
      <c r="F43" s="2">
        <v>2</v>
      </c>
      <c r="G43" s="2"/>
      <c r="H43" s="5">
        <v>1.1000000000000001</v>
      </c>
      <c r="I43" s="5">
        <v>1</v>
      </c>
      <c r="J43" s="2"/>
      <c r="K43" s="5">
        <v>0</v>
      </c>
      <c r="L43" s="2">
        <f>1+K43*F38</f>
        <v>1</v>
      </c>
      <c r="M43" s="2">
        <f>(B38+B43)*H43*L43*E38</f>
        <v>9.57</v>
      </c>
      <c r="N43" s="2">
        <v>11</v>
      </c>
      <c r="O43" s="2">
        <f>C38*I43</f>
        <v>2</v>
      </c>
      <c r="P43" s="2"/>
      <c r="Q43" s="2">
        <v>2</v>
      </c>
      <c r="R43" s="2">
        <f t="shared" si="2"/>
        <v>15.14</v>
      </c>
      <c r="S43" s="2">
        <v>14</v>
      </c>
      <c r="T43" s="2">
        <f t="shared" ref="T43:T62" si="3">R43-S43</f>
        <v>1.1399999999999999</v>
      </c>
    </row>
    <row r="44" spans="1:20" x14ac:dyDescent="0.15">
      <c r="A44" s="2">
        <v>3</v>
      </c>
      <c r="B44" s="2">
        <v>8</v>
      </c>
      <c r="C44" s="2"/>
      <c r="D44" s="2"/>
      <c r="E44" s="2"/>
      <c r="F44" s="2">
        <v>3</v>
      </c>
      <c r="G44" s="2"/>
      <c r="H44" s="5">
        <v>1.1000000000000001</v>
      </c>
      <c r="I44" s="5">
        <v>1</v>
      </c>
      <c r="J44" s="2"/>
      <c r="K44" s="5">
        <v>0</v>
      </c>
      <c r="L44" s="2">
        <f>1+K44*F38</f>
        <v>1</v>
      </c>
      <c r="M44" s="2">
        <f>(B38+B44)*H44*L44*E38</f>
        <v>10.526999999999999</v>
      </c>
      <c r="N44" s="2">
        <v>12</v>
      </c>
      <c r="O44" s="2">
        <f>C38*I44</f>
        <v>2</v>
      </c>
      <c r="P44" s="2"/>
      <c r="Q44" s="2">
        <v>2</v>
      </c>
      <c r="R44" s="2">
        <f t="shared" si="2"/>
        <v>17.053999999999998</v>
      </c>
      <c r="S44" s="2">
        <v>16</v>
      </c>
      <c r="T44" s="2">
        <f t="shared" si="3"/>
        <v>1.054</v>
      </c>
    </row>
    <row r="45" spans="1:20" x14ac:dyDescent="0.15">
      <c r="A45" s="2">
        <v>4</v>
      </c>
      <c r="B45" s="2">
        <v>10</v>
      </c>
      <c r="C45" s="2"/>
      <c r="D45" s="2"/>
      <c r="E45" s="2"/>
      <c r="F45" s="2">
        <v>4</v>
      </c>
      <c r="G45" s="2"/>
      <c r="H45" s="5">
        <v>1.2</v>
      </c>
      <c r="I45" s="5">
        <v>1</v>
      </c>
      <c r="J45" s="2"/>
      <c r="K45" s="5">
        <v>0</v>
      </c>
      <c r="L45" s="2">
        <f>1+K45*F38</f>
        <v>1</v>
      </c>
      <c r="M45" s="2">
        <f>(B38+B45)*H45*L45*E38</f>
        <v>13.571999999999999</v>
      </c>
      <c r="N45" s="2">
        <v>16</v>
      </c>
      <c r="O45" s="2">
        <f>C38*I45</f>
        <v>2</v>
      </c>
      <c r="P45" s="2"/>
      <c r="Q45" s="2">
        <v>2</v>
      </c>
      <c r="R45" s="2">
        <f t="shared" si="2"/>
        <v>23.143999999999998</v>
      </c>
      <c r="S45" s="2">
        <v>21</v>
      </c>
      <c r="T45" s="2">
        <f t="shared" si="3"/>
        <v>2.1440000000000001</v>
      </c>
    </row>
    <row r="46" spans="1:20" x14ac:dyDescent="0.15">
      <c r="A46" s="2">
        <v>5</v>
      </c>
      <c r="B46" s="2">
        <v>17</v>
      </c>
      <c r="C46" s="2"/>
      <c r="D46" s="2"/>
      <c r="E46" s="2"/>
      <c r="F46" s="2">
        <v>5</v>
      </c>
      <c r="G46" s="2"/>
      <c r="H46" s="5">
        <v>1.3</v>
      </c>
      <c r="I46" s="5">
        <v>1.05</v>
      </c>
      <c r="J46" s="2"/>
      <c r="K46" s="5">
        <v>0</v>
      </c>
      <c r="L46" s="2">
        <f>1+K46*F38</f>
        <v>1</v>
      </c>
      <c r="M46" s="2">
        <f>(B38+B46)*H46*L46*E38</f>
        <v>22.62</v>
      </c>
      <c r="N46" s="2">
        <v>26</v>
      </c>
      <c r="O46" s="2">
        <f>C38*I46</f>
        <v>2.1</v>
      </c>
      <c r="P46" s="2"/>
      <c r="Q46" s="2">
        <v>5</v>
      </c>
      <c r="R46" s="2">
        <f t="shared" si="2"/>
        <v>37.002000000000002</v>
      </c>
      <c r="S46" s="2">
        <v>35</v>
      </c>
      <c r="T46" s="2">
        <f t="shared" si="3"/>
        <v>2.0019999999999998</v>
      </c>
    </row>
    <row r="47" spans="1:20" x14ac:dyDescent="0.15">
      <c r="A47" s="2">
        <v>6</v>
      </c>
      <c r="B47" s="2">
        <v>20</v>
      </c>
      <c r="C47" s="2"/>
      <c r="D47" s="2"/>
      <c r="E47" s="2"/>
      <c r="F47" s="2">
        <v>6</v>
      </c>
      <c r="G47" s="2"/>
      <c r="H47" s="5">
        <v>1.3</v>
      </c>
      <c r="I47" s="5">
        <v>1.05</v>
      </c>
      <c r="J47" s="2"/>
      <c r="K47" s="5">
        <v>0</v>
      </c>
      <c r="L47" s="2">
        <f>1+K47*F38</f>
        <v>1</v>
      </c>
      <c r="M47" s="2">
        <f>(B38+B47)*H47*L47*E38</f>
        <v>26.013000000000002</v>
      </c>
      <c r="N47" s="2">
        <v>30</v>
      </c>
      <c r="O47" s="2">
        <f>C38*I47</f>
        <v>2.1</v>
      </c>
      <c r="P47" s="2"/>
      <c r="Q47" s="2">
        <v>5</v>
      </c>
      <c r="R47" s="2">
        <f t="shared" si="2"/>
        <v>44.127299999999998</v>
      </c>
      <c r="S47" s="2">
        <v>41</v>
      </c>
      <c r="T47" s="2">
        <f t="shared" si="3"/>
        <v>3.1273000000000102</v>
      </c>
    </row>
    <row r="48" spans="1:20" x14ac:dyDescent="0.15">
      <c r="A48" s="2">
        <v>7</v>
      </c>
      <c r="B48" s="2">
        <v>23</v>
      </c>
      <c r="C48" s="2"/>
      <c r="D48" s="2"/>
      <c r="E48" s="2"/>
      <c r="F48" s="2">
        <v>7</v>
      </c>
      <c r="G48" s="2"/>
      <c r="H48" s="5">
        <v>1.3</v>
      </c>
      <c r="I48" s="5">
        <v>1.05</v>
      </c>
      <c r="J48" s="2"/>
      <c r="K48" s="5">
        <v>0</v>
      </c>
      <c r="L48" s="2">
        <f>1+K48*F38</f>
        <v>1</v>
      </c>
      <c r="M48" s="2">
        <f>(B38+B48)*H48*L48*E38</f>
        <v>29.405999999999999</v>
      </c>
      <c r="N48" s="2">
        <v>34</v>
      </c>
      <c r="O48" s="2">
        <f>C38*I48</f>
        <v>2.1</v>
      </c>
      <c r="P48" s="2"/>
      <c r="Q48" s="2">
        <v>5</v>
      </c>
      <c r="R48" s="2">
        <f t="shared" si="2"/>
        <v>51.252600000000001</v>
      </c>
      <c r="S48" s="2">
        <v>48</v>
      </c>
      <c r="T48" s="2">
        <f t="shared" si="3"/>
        <v>3.2526000000000099</v>
      </c>
    </row>
    <row r="49" spans="1:20" x14ac:dyDescent="0.15">
      <c r="A49" s="2">
        <v>8</v>
      </c>
      <c r="B49" s="2">
        <v>25</v>
      </c>
      <c r="C49" s="2"/>
      <c r="D49" s="2"/>
      <c r="E49" s="2"/>
      <c r="F49" s="2">
        <v>8</v>
      </c>
      <c r="G49" s="2"/>
      <c r="H49" s="5">
        <v>1.35</v>
      </c>
      <c r="I49" s="5">
        <v>1.05</v>
      </c>
      <c r="J49" s="2"/>
      <c r="K49" s="5">
        <v>0</v>
      </c>
      <c r="L49" s="2">
        <f>1+K49*F38</f>
        <v>1</v>
      </c>
      <c r="M49" s="2">
        <f>(B38+B49)*H49*L49*E38</f>
        <v>32.886000000000003</v>
      </c>
      <c r="N49" s="2">
        <v>38</v>
      </c>
      <c r="O49" s="2">
        <f>C38*I49</f>
        <v>2.1</v>
      </c>
      <c r="P49" s="2"/>
      <c r="Q49" s="2">
        <v>5</v>
      </c>
      <c r="R49" s="2">
        <f t="shared" si="2"/>
        <v>58.560600000000001</v>
      </c>
      <c r="S49" s="2">
        <v>55</v>
      </c>
      <c r="T49" s="2">
        <f t="shared" si="3"/>
        <v>3.5606000000000102</v>
      </c>
    </row>
    <row r="50" spans="1:20" x14ac:dyDescent="0.15">
      <c r="A50" s="2">
        <v>9</v>
      </c>
      <c r="B50" s="2">
        <v>52</v>
      </c>
      <c r="C50" s="2"/>
      <c r="D50" s="2"/>
      <c r="E50" s="2"/>
      <c r="F50" s="2">
        <v>9</v>
      </c>
      <c r="G50" s="2"/>
      <c r="H50" s="5">
        <v>1.5</v>
      </c>
      <c r="I50" s="5">
        <v>1.1000000000000001</v>
      </c>
      <c r="J50" s="2"/>
      <c r="K50" s="5">
        <v>0</v>
      </c>
      <c r="L50" s="2">
        <f>1+K50*F38</f>
        <v>1</v>
      </c>
      <c r="M50" s="2">
        <f>(B38+B50)*H50*L50*E38</f>
        <v>71.775000000000006</v>
      </c>
      <c r="N50" s="2">
        <v>82</v>
      </c>
      <c r="O50" s="2">
        <f>C38*I50</f>
        <v>2.2000000000000002</v>
      </c>
      <c r="P50" s="2"/>
      <c r="Q50" s="2">
        <v>20</v>
      </c>
      <c r="R50" s="2">
        <f t="shared" si="2"/>
        <v>113.905</v>
      </c>
      <c r="S50" s="2">
        <v>110</v>
      </c>
      <c r="T50" s="2">
        <f t="shared" si="3"/>
        <v>3.9050000000000198</v>
      </c>
    </row>
    <row r="51" spans="1:20" x14ac:dyDescent="0.15">
      <c r="A51" s="2">
        <v>10</v>
      </c>
      <c r="B51" s="2">
        <v>57</v>
      </c>
      <c r="C51" s="2"/>
      <c r="D51" s="2"/>
      <c r="E51" s="2"/>
      <c r="F51" s="2">
        <v>10</v>
      </c>
      <c r="G51" s="2"/>
      <c r="H51" s="5">
        <v>1.5</v>
      </c>
      <c r="I51" s="5">
        <v>1.1000000000000001</v>
      </c>
      <c r="J51" s="2"/>
      <c r="K51" s="5">
        <v>0</v>
      </c>
      <c r="L51" s="2">
        <f>1+K51*F38</f>
        <v>1</v>
      </c>
      <c r="M51" s="2">
        <f>(B38+B51)*H51*L51*E38</f>
        <v>78.3</v>
      </c>
      <c r="N51" s="2">
        <v>91</v>
      </c>
      <c r="O51" s="2">
        <f>C38*I51</f>
        <v>2.2000000000000002</v>
      </c>
      <c r="P51" s="2"/>
      <c r="Q51" s="2">
        <v>20</v>
      </c>
      <c r="R51" s="2">
        <f t="shared" si="2"/>
        <v>128.26</v>
      </c>
      <c r="S51" s="2">
        <v>123</v>
      </c>
      <c r="T51" s="2">
        <f t="shared" si="3"/>
        <v>5.25999999999999</v>
      </c>
    </row>
    <row r="52" spans="1:20" x14ac:dyDescent="0.15">
      <c r="A52" s="2">
        <v>11</v>
      </c>
      <c r="B52" s="2">
        <v>62</v>
      </c>
      <c r="C52" s="2"/>
      <c r="D52" s="2"/>
      <c r="E52" s="2"/>
      <c r="F52" s="2">
        <v>11</v>
      </c>
      <c r="G52" s="2"/>
      <c r="H52" s="5">
        <v>1.5</v>
      </c>
      <c r="I52" s="5">
        <v>1.1000000000000001</v>
      </c>
      <c r="J52" s="2"/>
      <c r="K52" s="5">
        <v>0</v>
      </c>
      <c r="L52" s="2">
        <f>1+K52*F38</f>
        <v>1</v>
      </c>
      <c r="M52" s="2">
        <f>(B38+B52)*H52*L52*E38</f>
        <v>84.825000000000003</v>
      </c>
      <c r="N52" s="2">
        <v>100</v>
      </c>
      <c r="O52" s="2">
        <f>C38*I52</f>
        <v>2.2000000000000002</v>
      </c>
      <c r="P52" s="2"/>
      <c r="Q52" s="2">
        <v>20</v>
      </c>
      <c r="R52" s="2">
        <f t="shared" si="2"/>
        <v>142.61500000000001</v>
      </c>
      <c r="S52" s="2">
        <v>136</v>
      </c>
      <c r="T52" s="2">
        <f t="shared" si="3"/>
        <v>6.61500000000001</v>
      </c>
    </row>
    <row r="53" spans="1:20" x14ac:dyDescent="0.15">
      <c r="A53" s="2">
        <v>12</v>
      </c>
      <c r="B53" s="2">
        <v>70</v>
      </c>
      <c r="C53" s="2"/>
      <c r="D53" s="2"/>
      <c r="E53" s="2"/>
      <c r="F53" s="2">
        <v>12</v>
      </c>
      <c r="G53" s="2"/>
      <c r="H53" s="5">
        <v>1.5</v>
      </c>
      <c r="I53" s="5">
        <v>1.1000000000000001</v>
      </c>
      <c r="J53" s="2"/>
      <c r="K53" s="5">
        <v>0</v>
      </c>
      <c r="L53" s="2">
        <f>1+K53*F38</f>
        <v>1</v>
      </c>
      <c r="M53" s="2">
        <f>(B38+B53)*H53*L53*E38</f>
        <v>95.265000000000001</v>
      </c>
      <c r="N53" s="2">
        <v>109</v>
      </c>
      <c r="O53" s="2">
        <f>C38*I53</f>
        <v>2.2000000000000002</v>
      </c>
      <c r="P53" s="2"/>
      <c r="Q53" s="2">
        <v>20</v>
      </c>
      <c r="R53" s="2">
        <f t="shared" si="2"/>
        <v>165.583</v>
      </c>
      <c r="S53" s="2">
        <v>157</v>
      </c>
      <c r="T53" s="2">
        <f t="shared" si="3"/>
        <v>8.5830000000000304</v>
      </c>
    </row>
    <row r="54" spans="1:20" x14ac:dyDescent="0.15">
      <c r="A54" s="2">
        <v>13</v>
      </c>
      <c r="B54" s="2">
        <v>72</v>
      </c>
      <c r="C54" s="2"/>
      <c r="D54" s="2"/>
      <c r="E54" s="2"/>
      <c r="F54" s="2">
        <v>13</v>
      </c>
      <c r="G54" s="2"/>
      <c r="H54" s="5">
        <v>1.6</v>
      </c>
      <c r="I54" s="5">
        <v>1.1000000000000001</v>
      </c>
      <c r="J54" s="2"/>
      <c r="K54" s="5">
        <v>0</v>
      </c>
      <c r="L54" s="2">
        <f>1+K54*F38</f>
        <v>1</v>
      </c>
      <c r="M54" s="2">
        <f>(B38+B54)*H54*L54*E38</f>
        <v>104.4</v>
      </c>
      <c r="N54" s="2">
        <v>118</v>
      </c>
      <c r="O54" s="2">
        <f>C38*I54</f>
        <v>2.2000000000000002</v>
      </c>
      <c r="P54" s="2"/>
      <c r="Q54" s="2">
        <v>20</v>
      </c>
      <c r="R54" s="2">
        <f t="shared" si="2"/>
        <v>185.68</v>
      </c>
      <c r="S54" s="2">
        <v>176</v>
      </c>
      <c r="T54" s="2">
        <f t="shared" si="3"/>
        <v>9.6800000000000406</v>
      </c>
    </row>
    <row r="55" spans="1:20" x14ac:dyDescent="0.15">
      <c r="A55" s="2">
        <v>14</v>
      </c>
      <c r="B55" s="2">
        <v>76</v>
      </c>
      <c r="C55" s="2"/>
      <c r="D55" s="2"/>
      <c r="E55" s="2"/>
      <c r="F55" s="2">
        <v>14</v>
      </c>
      <c r="G55" s="2"/>
      <c r="H55" s="5">
        <v>1.6</v>
      </c>
      <c r="I55" s="5">
        <v>1.1000000000000001</v>
      </c>
      <c r="J55" s="2"/>
      <c r="K55" s="5">
        <v>0</v>
      </c>
      <c r="L55" s="2">
        <f>1+K55*F38</f>
        <v>1</v>
      </c>
      <c r="M55" s="2">
        <f>(B38+B55)*H55*L55*E38</f>
        <v>109.968</v>
      </c>
      <c r="N55" s="2">
        <v>127</v>
      </c>
      <c r="O55" s="2">
        <f>C38*I55</f>
        <v>2.2000000000000002</v>
      </c>
      <c r="P55" s="2"/>
      <c r="Q55" s="2">
        <v>20</v>
      </c>
      <c r="R55" s="2">
        <f t="shared" si="2"/>
        <v>197.92959999999999</v>
      </c>
      <c r="S55" s="2">
        <v>187</v>
      </c>
      <c r="T55" s="2">
        <f t="shared" si="3"/>
        <v>10.929600000000001</v>
      </c>
    </row>
    <row r="56" spans="1:20" x14ac:dyDescent="0.15">
      <c r="A56" s="2">
        <v>15</v>
      </c>
      <c r="B56" s="2">
        <v>135</v>
      </c>
      <c r="C56" s="2"/>
      <c r="D56" s="2"/>
      <c r="E56" s="2"/>
      <c r="F56" s="2">
        <v>15</v>
      </c>
      <c r="G56" s="2"/>
      <c r="H56" s="5">
        <v>1.7</v>
      </c>
      <c r="I56" s="5">
        <v>1.1499999999999999</v>
      </c>
      <c r="J56" s="2"/>
      <c r="K56" s="5">
        <v>0</v>
      </c>
      <c r="L56" s="2">
        <f>1+K56*F38</f>
        <v>1</v>
      </c>
      <c r="M56" s="2">
        <f>(B38+B56)*H56*L56*E38</f>
        <v>204.102</v>
      </c>
      <c r="N56" s="2">
        <v>234</v>
      </c>
      <c r="O56" s="2">
        <f>C38*I56</f>
        <v>2.2999999999999998</v>
      </c>
      <c r="P56" s="2"/>
      <c r="Q56" s="2">
        <v>100</v>
      </c>
      <c r="R56" s="2">
        <f t="shared" si="2"/>
        <v>239.43459999999999</v>
      </c>
      <c r="S56" s="2">
        <v>247</v>
      </c>
      <c r="T56" s="2">
        <f t="shared" si="3"/>
        <v>-7.5654000000000101</v>
      </c>
    </row>
    <row r="57" spans="1:20" x14ac:dyDescent="0.15">
      <c r="A57" s="2">
        <v>16</v>
      </c>
      <c r="B57" s="2">
        <v>135</v>
      </c>
      <c r="C57" s="2"/>
      <c r="D57" s="2"/>
      <c r="E57" s="2"/>
      <c r="F57" s="2">
        <v>16</v>
      </c>
      <c r="G57" s="2"/>
      <c r="H57" s="5">
        <v>1.8</v>
      </c>
      <c r="I57" s="5">
        <v>1.1499999999999999</v>
      </c>
      <c r="J57" s="2"/>
      <c r="K57" s="5">
        <v>0</v>
      </c>
      <c r="L57" s="2">
        <f>1+K57*F38</f>
        <v>1</v>
      </c>
      <c r="M57" s="2">
        <f>(B38+B57)*H57*L57*E38</f>
        <v>216.108</v>
      </c>
      <c r="N57" s="2">
        <v>250</v>
      </c>
      <c r="O57" s="2">
        <f>C38*I57</f>
        <v>2.2999999999999998</v>
      </c>
      <c r="P57" s="2"/>
      <c r="Q57" s="2">
        <v>100</v>
      </c>
      <c r="R57" s="2">
        <f t="shared" si="2"/>
        <v>267.04840000000002</v>
      </c>
      <c r="S57" s="2">
        <v>273</v>
      </c>
      <c r="T57" s="2">
        <f t="shared" si="3"/>
        <v>-5.9515999999999796</v>
      </c>
    </row>
    <row r="58" spans="1:20" x14ac:dyDescent="0.15">
      <c r="A58" s="2">
        <v>17</v>
      </c>
      <c r="B58" s="2">
        <v>145</v>
      </c>
      <c r="C58" s="2"/>
      <c r="D58" s="2"/>
      <c r="E58" s="2"/>
      <c r="F58" s="2">
        <v>17</v>
      </c>
      <c r="G58" s="2"/>
      <c r="H58" s="5">
        <v>1.8</v>
      </c>
      <c r="I58" s="5">
        <v>1.1499999999999999</v>
      </c>
      <c r="J58" s="2"/>
      <c r="K58" s="5">
        <v>0</v>
      </c>
      <c r="L58" s="2">
        <f>1+K58*F38</f>
        <v>1</v>
      </c>
      <c r="M58" s="2">
        <f>(B38+B58)*H58*L58*E38</f>
        <v>231.768</v>
      </c>
      <c r="N58" s="2">
        <v>266</v>
      </c>
      <c r="O58" s="2">
        <f>C38*I58</f>
        <v>2.2999999999999998</v>
      </c>
      <c r="P58" s="2"/>
      <c r="Q58" s="2">
        <v>100</v>
      </c>
      <c r="R58" s="2">
        <f t="shared" si="2"/>
        <v>303.06639999999999</v>
      </c>
      <c r="S58" s="2">
        <v>306</v>
      </c>
      <c r="T58" s="2">
        <f t="shared" si="3"/>
        <v>-2.9335999999999598</v>
      </c>
    </row>
    <row r="59" spans="1:20" x14ac:dyDescent="0.15">
      <c r="A59" s="2">
        <v>18</v>
      </c>
      <c r="B59" s="2">
        <v>270</v>
      </c>
      <c r="C59" s="2"/>
      <c r="D59" s="2"/>
      <c r="E59" s="2"/>
      <c r="F59" s="2">
        <v>18</v>
      </c>
      <c r="G59" s="2"/>
      <c r="H59" s="5">
        <v>1.9</v>
      </c>
      <c r="I59" s="5">
        <v>1.2</v>
      </c>
      <c r="J59" s="2"/>
      <c r="K59" s="5">
        <v>0</v>
      </c>
      <c r="L59" s="2">
        <f>1+K59*F38</f>
        <v>1</v>
      </c>
      <c r="M59" s="2">
        <f>(B38+B59)*H59*L59*E38</f>
        <v>451.26900000000001</v>
      </c>
      <c r="N59" s="2">
        <v>520</v>
      </c>
      <c r="O59" s="2">
        <f>C38*I59</f>
        <v>2.4</v>
      </c>
      <c r="P59" s="2"/>
      <c r="Q59" s="2">
        <v>200</v>
      </c>
      <c r="R59" s="2">
        <f t="shared" si="2"/>
        <v>603.04560000000004</v>
      </c>
      <c r="S59" s="2">
        <v>611</v>
      </c>
      <c r="T59" s="2">
        <f t="shared" si="3"/>
        <v>-7.9544000000001898</v>
      </c>
    </row>
    <row r="60" spans="1:20" x14ac:dyDescent="0.15">
      <c r="A60" s="2">
        <v>19</v>
      </c>
      <c r="B60" s="2">
        <v>295</v>
      </c>
      <c r="C60" s="2"/>
      <c r="D60" s="2"/>
      <c r="E60" s="2"/>
      <c r="F60" s="2">
        <v>19</v>
      </c>
      <c r="G60" s="2"/>
      <c r="H60" s="5">
        <v>1.9</v>
      </c>
      <c r="I60" s="5">
        <v>1.2</v>
      </c>
      <c r="J60" s="2"/>
      <c r="K60" s="5">
        <v>0</v>
      </c>
      <c r="L60" s="2">
        <f>1+K60*F38</f>
        <v>1</v>
      </c>
      <c r="M60" s="2">
        <f>(B38+B60)*H60*L60*E38</f>
        <v>492.59399999999999</v>
      </c>
      <c r="N60" s="2">
        <v>568</v>
      </c>
      <c r="O60" s="2">
        <f>C38*I60</f>
        <v>2.4</v>
      </c>
      <c r="P60" s="2"/>
      <c r="Q60" s="2">
        <v>200</v>
      </c>
      <c r="R60" s="2">
        <f t="shared" si="2"/>
        <v>702.22559999999999</v>
      </c>
      <c r="S60" s="2">
        <v>703</v>
      </c>
      <c r="T60" s="2">
        <f t="shared" si="3"/>
        <v>-0.77440000000012799</v>
      </c>
    </row>
    <row r="61" spans="1:20" x14ac:dyDescent="0.15">
      <c r="A61" s="2">
        <v>20</v>
      </c>
      <c r="B61" s="2">
        <v>325</v>
      </c>
      <c r="C61" s="2"/>
      <c r="D61" s="2"/>
      <c r="E61" s="2"/>
      <c r="F61" s="2">
        <v>20</v>
      </c>
      <c r="G61" s="2"/>
      <c r="H61" s="5">
        <v>1.9</v>
      </c>
      <c r="I61" s="5">
        <v>1.2</v>
      </c>
      <c r="J61" s="2"/>
      <c r="K61" s="5">
        <v>0</v>
      </c>
      <c r="L61" s="2">
        <f>1+K61*F38</f>
        <v>1</v>
      </c>
      <c r="M61" s="2">
        <f>(B38+B61)*H61*L61*E38</f>
        <v>542.18399999999997</v>
      </c>
      <c r="N61" s="2">
        <v>618</v>
      </c>
      <c r="O61" s="2">
        <f>C38*I61</f>
        <v>2.4</v>
      </c>
      <c r="P61" s="2"/>
      <c r="Q61" s="2">
        <v>200</v>
      </c>
      <c r="R61" s="2">
        <f t="shared" si="2"/>
        <v>821.24159999999995</v>
      </c>
      <c r="S61" s="2">
        <v>812</v>
      </c>
      <c r="T61" s="2">
        <f t="shared" si="3"/>
        <v>9.2415999999999503</v>
      </c>
    </row>
    <row r="62" spans="1:20" x14ac:dyDescent="0.15">
      <c r="A62" s="2">
        <v>21</v>
      </c>
      <c r="B62" s="2">
        <v>350</v>
      </c>
      <c r="C62" s="2"/>
      <c r="D62" s="2"/>
      <c r="E62" s="2"/>
      <c r="F62" s="2">
        <v>21</v>
      </c>
      <c r="G62" s="2"/>
      <c r="H62" s="5">
        <v>2</v>
      </c>
      <c r="I62" s="5">
        <v>1.2</v>
      </c>
      <c r="J62" s="2"/>
      <c r="K62" s="5">
        <v>0</v>
      </c>
      <c r="L62" s="2">
        <f>1+K62*F38</f>
        <v>1</v>
      </c>
      <c r="M62" s="2">
        <f>(B38+B62)*H62*L62*E38</f>
        <v>614.22</v>
      </c>
      <c r="N62" s="2">
        <v>710</v>
      </c>
      <c r="O62" s="2">
        <f>C38*I62</f>
        <v>2.4</v>
      </c>
      <c r="P62" s="2"/>
      <c r="Q62" s="2">
        <v>200</v>
      </c>
      <c r="R62" s="2">
        <f t="shared" si="2"/>
        <v>994.12800000000004</v>
      </c>
      <c r="S62" s="2">
        <v>971</v>
      </c>
      <c r="T62" s="2">
        <f t="shared" si="3"/>
        <v>23.128</v>
      </c>
    </row>
    <row r="67" spans="1:20" x14ac:dyDescent="0.15">
      <c r="A67" s="24" t="s">
        <v>25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4"/>
      <c r="P67" s="4"/>
    </row>
    <row r="68" spans="1:20" x14ac:dyDescent="0.15">
      <c r="A68" s="32" t="s">
        <v>26</v>
      </c>
      <c r="B68" s="32"/>
      <c r="C68" s="32"/>
      <c r="D68" s="32"/>
      <c r="E68" s="32"/>
      <c r="F68" s="32"/>
      <c r="G68" s="32"/>
      <c r="H68" s="25" t="s">
        <v>27</v>
      </c>
      <c r="I68" s="25"/>
      <c r="J68" s="25"/>
      <c r="K68" s="32" t="s">
        <v>28</v>
      </c>
      <c r="L68" s="32"/>
      <c r="M68" s="32"/>
      <c r="N68" s="32"/>
      <c r="O68" s="4"/>
      <c r="P68" s="4"/>
    </row>
    <row r="69" spans="1:20" x14ac:dyDescent="0.15">
      <c r="A69" s="33" t="s">
        <v>29</v>
      </c>
      <c r="B69" s="33"/>
      <c r="C69" s="33"/>
      <c r="D69" s="33"/>
      <c r="E69" s="33"/>
      <c r="F69" s="33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20" x14ac:dyDescent="0.15">
      <c r="A70" s="2" t="s">
        <v>30</v>
      </c>
      <c r="B70" s="2" t="s">
        <v>31</v>
      </c>
      <c r="C70" s="2" t="s">
        <v>32</v>
      </c>
      <c r="D70" s="2" t="s">
        <v>33</v>
      </c>
      <c r="E70" s="2" t="s">
        <v>34</v>
      </c>
      <c r="F70" s="2" t="s">
        <v>35</v>
      </c>
      <c r="G70" s="4"/>
      <c r="N70" s="4"/>
      <c r="O70" s="4"/>
      <c r="P70" s="4"/>
    </row>
    <row r="71" spans="1:20" x14ac:dyDescent="0.15">
      <c r="A71" s="2" t="s">
        <v>36</v>
      </c>
      <c r="B71" s="2">
        <v>3</v>
      </c>
      <c r="C71" s="2">
        <v>1.6</v>
      </c>
      <c r="D71" s="5">
        <v>1.1000000000000001</v>
      </c>
      <c r="E71" s="5">
        <v>1</v>
      </c>
      <c r="F71" s="2">
        <v>3</v>
      </c>
      <c r="G71" s="4"/>
      <c r="N71" s="4"/>
      <c r="O71" s="4"/>
      <c r="P71" s="4"/>
    </row>
    <row r="72" spans="1:20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20" x14ac:dyDescent="0.15">
      <c r="A73" s="18" t="s">
        <v>37</v>
      </c>
      <c r="B73" s="18"/>
      <c r="C73" s="18"/>
      <c r="D73" s="18"/>
      <c r="E73" s="18"/>
      <c r="F73" s="24" t="s">
        <v>38</v>
      </c>
      <c r="G73" s="24"/>
      <c r="H73" s="24"/>
      <c r="I73" s="24"/>
      <c r="J73" s="24"/>
      <c r="K73" s="32" t="s">
        <v>39</v>
      </c>
      <c r="L73" s="32"/>
      <c r="M73" s="25" t="s">
        <v>40</v>
      </c>
      <c r="N73" s="25"/>
      <c r="O73" s="25"/>
      <c r="P73" s="25"/>
      <c r="Q73" s="25"/>
      <c r="R73" s="25"/>
      <c r="S73" s="25"/>
      <c r="T73" s="25"/>
    </row>
    <row r="74" spans="1:20" x14ac:dyDescent="0.15">
      <c r="A74" s="2" t="s">
        <v>41</v>
      </c>
      <c r="B74" s="2" t="s">
        <v>42</v>
      </c>
      <c r="C74" s="2" t="s">
        <v>43</v>
      </c>
      <c r="D74" s="2" t="s">
        <v>44</v>
      </c>
      <c r="E74" s="2" t="s">
        <v>45</v>
      </c>
      <c r="F74" s="2" t="s">
        <v>41</v>
      </c>
      <c r="G74" s="2" t="s">
        <v>46</v>
      </c>
      <c r="H74" s="2" t="s">
        <v>47</v>
      </c>
      <c r="I74" s="2" t="s">
        <v>48</v>
      </c>
      <c r="J74" s="2" t="s">
        <v>49</v>
      </c>
      <c r="K74" s="2" t="s">
        <v>50</v>
      </c>
      <c r="L74" s="2" t="s">
        <v>51</v>
      </c>
      <c r="M74" s="2" t="s">
        <v>52</v>
      </c>
      <c r="N74" s="4" t="s">
        <v>53</v>
      </c>
      <c r="O74" s="2" t="s">
        <v>54</v>
      </c>
      <c r="P74" s="2" t="s">
        <v>22</v>
      </c>
      <c r="Q74" s="2" t="s">
        <v>4</v>
      </c>
      <c r="R74" s="2" t="s">
        <v>55</v>
      </c>
      <c r="S74" s="2" t="s">
        <v>56</v>
      </c>
      <c r="T74" s="2" t="s">
        <v>20</v>
      </c>
    </row>
    <row r="75" spans="1:20" x14ac:dyDescent="0.15">
      <c r="A75" s="2">
        <v>1</v>
      </c>
      <c r="B75" s="2">
        <v>6</v>
      </c>
      <c r="C75" s="2"/>
      <c r="D75" s="2"/>
      <c r="E75" s="2"/>
      <c r="F75" s="2">
        <v>1</v>
      </c>
      <c r="G75" s="2"/>
      <c r="H75" s="5">
        <v>1.1000000000000001</v>
      </c>
      <c r="I75" s="5">
        <v>1</v>
      </c>
      <c r="J75" s="2"/>
      <c r="K75" s="5">
        <v>0</v>
      </c>
      <c r="L75" s="2">
        <f>1+K75*F71</f>
        <v>1</v>
      </c>
      <c r="M75" s="2">
        <f>(B71+B75)*H75*L75*E71</f>
        <v>9.9</v>
      </c>
      <c r="N75" s="2">
        <v>10</v>
      </c>
      <c r="O75" s="2">
        <f>C71*I75</f>
        <v>1.6</v>
      </c>
      <c r="P75" s="2"/>
      <c r="Q75" s="2">
        <v>2</v>
      </c>
      <c r="R75" s="2">
        <f t="shared" ref="R75:R95" si="4">O75*(M75-Q75)</f>
        <v>12.64</v>
      </c>
      <c r="S75" s="2">
        <v>12</v>
      </c>
      <c r="T75" s="2">
        <f t="shared" ref="T75:T95" si="5">R75-S75</f>
        <v>0.64000000000000101</v>
      </c>
    </row>
    <row r="76" spans="1:20" x14ac:dyDescent="0.15">
      <c r="A76" s="2">
        <v>2</v>
      </c>
      <c r="B76" s="2">
        <v>7</v>
      </c>
      <c r="C76" s="2"/>
      <c r="D76" s="2"/>
      <c r="E76" s="2"/>
      <c r="F76" s="2">
        <v>2</v>
      </c>
      <c r="G76" s="2"/>
      <c r="H76" s="5">
        <v>1.1000000000000001</v>
      </c>
      <c r="I76" s="5">
        <v>1</v>
      </c>
      <c r="J76" s="2"/>
      <c r="K76" s="5">
        <v>0</v>
      </c>
      <c r="L76" s="2">
        <f>1+K76*F71</f>
        <v>1</v>
      </c>
      <c r="M76" s="2">
        <f>(B71+B76)*H76*L76*E71</f>
        <v>11</v>
      </c>
      <c r="N76" s="2">
        <v>11</v>
      </c>
      <c r="O76" s="2">
        <f>C71*I76</f>
        <v>1.6</v>
      </c>
      <c r="P76" s="2"/>
      <c r="Q76" s="2">
        <v>2</v>
      </c>
      <c r="R76" s="2">
        <f t="shared" si="4"/>
        <v>14.4</v>
      </c>
      <c r="S76" s="2">
        <v>14</v>
      </c>
      <c r="T76" s="2">
        <f t="shared" si="5"/>
        <v>0.4</v>
      </c>
    </row>
    <row r="77" spans="1:20" x14ac:dyDescent="0.15">
      <c r="A77" s="2">
        <v>3</v>
      </c>
      <c r="B77" s="2">
        <v>8</v>
      </c>
      <c r="C77" s="2"/>
      <c r="D77" s="2"/>
      <c r="E77" s="2"/>
      <c r="F77" s="2">
        <v>3</v>
      </c>
      <c r="G77" s="2"/>
      <c r="H77" s="5">
        <v>1.1000000000000001</v>
      </c>
      <c r="I77" s="5">
        <v>1</v>
      </c>
      <c r="J77" s="2"/>
      <c r="K77" s="5">
        <v>0</v>
      </c>
      <c r="L77" s="2">
        <f>1+K77*F71</f>
        <v>1</v>
      </c>
      <c r="M77" s="2">
        <f>(B71+B77)*H77*L77*E71</f>
        <v>12.1</v>
      </c>
      <c r="N77" s="2">
        <v>12</v>
      </c>
      <c r="O77" s="2">
        <f>C71*I77</f>
        <v>1.6</v>
      </c>
      <c r="P77" s="2"/>
      <c r="Q77" s="2">
        <v>2</v>
      </c>
      <c r="R77" s="2">
        <f t="shared" si="4"/>
        <v>16.16</v>
      </c>
      <c r="S77" s="2">
        <v>16</v>
      </c>
      <c r="T77" s="2">
        <f t="shared" si="5"/>
        <v>0.160000000000004</v>
      </c>
    </row>
    <row r="78" spans="1:20" x14ac:dyDescent="0.15">
      <c r="A78" s="2">
        <v>4</v>
      </c>
      <c r="B78" s="2">
        <v>10</v>
      </c>
      <c r="C78" s="2"/>
      <c r="D78" s="2"/>
      <c r="E78" s="2"/>
      <c r="F78" s="2">
        <v>4</v>
      </c>
      <c r="G78" s="2"/>
      <c r="H78" s="5">
        <v>1.2</v>
      </c>
      <c r="I78" s="5">
        <v>1</v>
      </c>
      <c r="J78" s="2"/>
      <c r="K78" s="5">
        <v>0</v>
      </c>
      <c r="L78" s="2">
        <f>1+K78*F71</f>
        <v>1</v>
      </c>
      <c r="M78" s="2">
        <f>(B71+B78)*H78*L78*E71</f>
        <v>15.6</v>
      </c>
      <c r="N78" s="2">
        <v>16</v>
      </c>
      <c r="O78" s="2">
        <f>C71*I78</f>
        <v>1.6</v>
      </c>
      <c r="P78" s="2"/>
      <c r="Q78" s="2">
        <v>2</v>
      </c>
      <c r="R78" s="2">
        <f t="shared" si="4"/>
        <v>21.76</v>
      </c>
      <c r="S78" s="2">
        <v>21</v>
      </c>
      <c r="T78" s="2">
        <f t="shared" si="5"/>
        <v>0.76000000000000201</v>
      </c>
    </row>
    <row r="79" spans="1:20" x14ac:dyDescent="0.15">
      <c r="A79" s="2">
        <v>5</v>
      </c>
      <c r="B79" s="2">
        <v>17</v>
      </c>
      <c r="C79" s="2"/>
      <c r="D79" s="2"/>
      <c r="E79" s="2"/>
      <c r="F79" s="2">
        <v>5</v>
      </c>
      <c r="G79" s="2"/>
      <c r="H79" s="5">
        <v>1.3</v>
      </c>
      <c r="I79" s="5">
        <v>1.05</v>
      </c>
      <c r="J79" s="2"/>
      <c r="K79" s="5">
        <v>0</v>
      </c>
      <c r="L79" s="2">
        <f>1+K79*F71</f>
        <v>1</v>
      </c>
      <c r="M79" s="2">
        <f>(B71+B79)*H79*L79*E71</f>
        <v>26</v>
      </c>
      <c r="N79" s="2">
        <v>26</v>
      </c>
      <c r="O79" s="2">
        <f>C71*I79</f>
        <v>1.68</v>
      </c>
      <c r="P79" s="2"/>
      <c r="Q79" s="2">
        <v>5</v>
      </c>
      <c r="R79" s="2">
        <f t="shared" si="4"/>
        <v>35.28</v>
      </c>
      <c r="S79" s="2">
        <v>35</v>
      </c>
      <c r="T79" s="2">
        <f t="shared" si="5"/>
        <v>0.28000000000000103</v>
      </c>
    </row>
    <row r="80" spans="1:20" x14ac:dyDescent="0.15">
      <c r="A80" s="2">
        <v>6</v>
      </c>
      <c r="B80" s="2">
        <v>20</v>
      </c>
      <c r="C80" s="2"/>
      <c r="D80" s="2"/>
      <c r="E80" s="2"/>
      <c r="F80" s="2">
        <v>6</v>
      </c>
      <c r="G80" s="2"/>
      <c r="H80" s="5">
        <v>1.3</v>
      </c>
      <c r="I80" s="5">
        <v>1.05</v>
      </c>
      <c r="J80" s="2"/>
      <c r="K80" s="5">
        <v>0</v>
      </c>
      <c r="L80" s="2">
        <f>1+K80*F71</f>
        <v>1</v>
      </c>
      <c r="M80" s="2">
        <f>(B71+B80)*H80*L80*E71</f>
        <v>29.9</v>
      </c>
      <c r="N80" s="2">
        <v>30</v>
      </c>
      <c r="O80" s="2">
        <f>C71*I80</f>
        <v>1.68</v>
      </c>
      <c r="P80" s="2"/>
      <c r="Q80" s="2">
        <v>5</v>
      </c>
      <c r="R80" s="2">
        <f t="shared" si="4"/>
        <v>41.832000000000001</v>
      </c>
      <c r="S80" s="2">
        <v>41</v>
      </c>
      <c r="T80" s="2">
        <f t="shared" si="5"/>
        <v>0.83200000000000796</v>
      </c>
    </row>
    <row r="81" spans="1:20" x14ac:dyDescent="0.15">
      <c r="A81" s="2">
        <v>7</v>
      </c>
      <c r="B81" s="2">
        <v>23</v>
      </c>
      <c r="C81" s="2"/>
      <c r="D81" s="2"/>
      <c r="E81" s="2"/>
      <c r="F81" s="2">
        <v>7</v>
      </c>
      <c r="G81" s="2"/>
      <c r="H81" s="5">
        <v>1.3</v>
      </c>
      <c r="I81" s="5">
        <v>1.05</v>
      </c>
      <c r="J81" s="2"/>
      <c r="K81" s="5">
        <v>0</v>
      </c>
      <c r="L81" s="2">
        <f>1+K81*F71</f>
        <v>1</v>
      </c>
      <c r="M81" s="2">
        <f>(B71+B81)*H81*L81*E71</f>
        <v>33.799999999999997</v>
      </c>
      <c r="N81" s="2">
        <v>34</v>
      </c>
      <c r="O81" s="2">
        <f>C71*I81</f>
        <v>1.68</v>
      </c>
      <c r="P81" s="2"/>
      <c r="Q81" s="2">
        <v>5</v>
      </c>
      <c r="R81" s="2">
        <f t="shared" si="4"/>
        <v>48.384</v>
      </c>
      <c r="S81" s="2">
        <v>48</v>
      </c>
      <c r="T81" s="2">
        <f t="shared" si="5"/>
        <v>0.384000000000015</v>
      </c>
    </row>
    <row r="82" spans="1:20" x14ac:dyDescent="0.15">
      <c r="A82" s="2">
        <v>8</v>
      </c>
      <c r="B82" s="2">
        <v>25</v>
      </c>
      <c r="C82" s="2"/>
      <c r="D82" s="2"/>
      <c r="E82" s="2"/>
      <c r="F82" s="2">
        <v>8</v>
      </c>
      <c r="G82" s="2"/>
      <c r="H82" s="5">
        <v>1.35</v>
      </c>
      <c r="I82" s="5">
        <v>1.05</v>
      </c>
      <c r="J82" s="2"/>
      <c r="K82" s="5">
        <v>0</v>
      </c>
      <c r="L82" s="2">
        <f>1+K82*F71</f>
        <v>1</v>
      </c>
      <c r="M82" s="2">
        <f>(B71+B82)*H82*L82*E71</f>
        <v>37.799999999999997</v>
      </c>
      <c r="N82" s="2">
        <v>38</v>
      </c>
      <c r="O82" s="2">
        <f>C71*I82</f>
        <v>1.68</v>
      </c>
      <c r="P82" s="2"/>
      <c r="Q82" s="2">
        <v>5</v>
      </c>
      <c r="R82" s="2">
        <f t="shared" si="4"/>
        <v>55.103999999999999</v>
      </c>
      <c r="S82" s="2">
        <v>55</v>
      </c>
      <c r="T82" s="2">
        <f t="shared" si="5"/>
        <v>0.104000000000013</v>
      </c>
    </row>
    <row r="83" spans="1:20" x14ac:dyDescent="0.15">
      <c r="A83" s="2">
        <v>9</v>
      </c>
      <c r="B83" s="2">
        <v>52</v>
      </c>
      <c r="C83" s="2"/>
      <c r="D83" s="2"/>
      <c r="E83" s="2"/>
      <c r="F83" s="2">
        <v>9</v>
      </c>
      <c r="G83" s="2"/>
      <c r="H83" s="5">
        <v>1.5</v>
      </c>
      <c r="I83" s="5">
        <v>1.1000000000000001</v>
      </c>
      <c r="J83" s="2"/>
      <c r="K83" s="5">
        <v>0</v>
      </c>
      <c r="L83" s="2">
        <f>1+K83*F71</f>
        <v>1</v>
      </c>
      <c r="M83" s="2">
        <f>(B71+B83)*H83*L83*E71</f>
        <v>82.5</v>
      </c>
      <c r="N83" s="2">
        <v>82</v>
      </c>
      <c r="O83" s="2">
        <f>C71*I83</f>
        <v>1.76</v>
      </c>
      <c r="P83" s="2"/>
      <c r="Q83" s="2">
        <v>20</v>
      </c>
      <c r="R83" s="2">
        <f t="shared" si="4"/>
        <v>110</v>
      </c>
      <c r="S83" s="2">
        <v>110</v>
      </c>
      <c r="T83" s="2">
        <f t="shared" si="5"/>
        <v>0</v>
      </c>
    </row>
    <row r="84" spans="1:20" x14ac:dyDescent="0.15">
      <c r="A84" s="2">
        <v>10</v>
      </c>
      <c r="B84" s="2">
        <v>57</v>
      </c>
      <c r="C84" s="2"/>
      <c r="D84" s="2"/>
      <c r="E84" s="2"/>
      <c r="F84" s="2">
        <v>10</v>
      </c>
      <c r="G84" s="2"/>
      <c r="H84" s="5">
        <v>1.5</v>
      </c>
      <c r="I84" s="5">
        <v>1.1000000000000001</v>
      </c>
      <c r="J84" s="2"/>
      <c r="K84" s="5">
        <v>0</v>
      </c>
      <c r="L84" s="2">
        <f>1+K84*F71</f>
        <v>1</v>
      </c>
      <c r="M84" s="2">
        <f>(B71+B84)*H84*L84*E71</f>
        <v>90</v>
      </c>
      <c r="N84" s="2">
        <v>91</v>
      </c>
      <c r="O84" s="2">
        <f>C71*I84</f>
        <v>1.76</v>
      </c>
      <c r="P84" s="2"/>
      <c r="Q84" s="2">
        <v>20</v>
      </c>
      <c r="R84" s="2">
        <f t="shared" si="4"/>
        <v>123.2</v>
      </c>
      <c r="S84" s="2">
        <v>123</v>
      </c>
      <c r="T84" s="2">
        <f t="shared" si="5"/>
        <v>0.200000000000017</v>
      </c>
    </row>
    <row r="85" spans="1:20" x14ac:dyDescent="0.15">
      <c r="A85" s="2">
        <v>11</v>
      </c>
      <c r="B85" s="2">
        <v>62</v>
      </c>
      <c r="C85" s="2"/>
      <c r="D85" s="2"/>
      <c r="E85" s="2"/>
      <c r="F85" s="2">
        <v>11</v>
      </c>
      <c r="G85" s="2"/>
      <c r="H85" s="5">
        <v>1.5</v>
      </c>
      <c r="I85" s="5">
        <v>1.1000000000000001</v>
      </c>
      <c r="J85" s="2"/>
      <c r="K85" s="5">
        <v>0</v>
      </c>
      <c r="L85" s="2">
        <f>1+K85*F71</f>
        <v>1</v>
      </c>
      <c r="M85" s="2">
        <f>(B71+B85)*H85*L85*E71</f>
        <v>97.5</v>
      </c>
      <c r="N85" s="2">
        <v>100</v>
      </c>
      <c r="O85" s="2">
        <f>C71*I85</f>
        <v>1.76</v>
      </c>
      <c r="P85" s="2"/>
      <c r="Q85" s="2">
        <v>20</v>
      </c>
      <c r="R85" s="2">
        <f t="shared" si="4"/>
        <v>136.4</v>
      </c>
      <c r="S85" s="2">
        <v>136</v>
      </c>
      <c r="T85" s="2">
        <f t="shared" si="5"/>
        <v>0.40000000000000602</v>
      </c>
    </row>
    <row r="86" spans="1:20" x14ac:dyDescent="0.15">
      <c r="A86" s="2">
        <v>12</v>
      </c>
      <c r="B86" s="2">
        <v>70</v>
      </c>
      <c r="C86" s="2"/>
      <c r="D86" s="2"/>
      <c r="E86" s="2"/>
      <c r="F86" s="2">
        <v>12</v>
      </c>
      <c r="G86" s="2"/>
      <c r="H86" s="5">
        <v>1.5</v>
      </c>
      <c r="I86" s="5">
        <v>1.1000000000000001</v>
      </c>
      <c r="J86" s="2"/>
      <c r="K86" s="5">
        <v>0</v>
      </c>
      <c r="L86" s="2">
        <f>1+K86*F71</f>
        <v>1</v>
      </c>
      <c r="M86" s="2">
        <f>(B71+B86)*H86*L86*E71</f>
        <v>109.5</v>
      </c>
      <c r="N86" s="2">
        <v>109</v>
      </c>
      <c r="O86" s="2">
        <f>C71*I86</f>
        <v>1.76</v>
      </c>
      <c r="P86" s="2"/>
      <c r="Q86" s="2">
        <v>20</v>
      </c>
      <c r="R86" s="2">
        <f t="shared" si="4"/>
        <v>157.52000000000001</v>
      </c>
      <c r="S86" s="2">
        <v>157</v>
      </c>
      <c r="T86" s="2">
        <f t="shared" si="5"/>
        <v>0.52000000000001001</v>
      </c>
    </row>
    <row r="87" spans="1:20" x14ac:dyDescent="0.15">
      <c r="A87" s="2">
        <v>13</v>
      </c>
      <c r="B87" s="2">
        <v>72</v>
      </c>
      <c r="C87" s="2"/>
      <c r="D87" s="2"/>
      <c r="E87" s="2"/>
      <c r="F87" s="2">
        <v>13</v>
      </c>
      <c r="G87" s="2"/>
      <c r="H87" s="5">
        <v>1.6</v>
      </c>
      <c r="I87" s="5">
        <v>1.1000000000000001</v>
      </c>
      <c r="J87" s="2"/>
      <c r="K87" s="5">
        <v>0</v>
      </c>
      <c r="L87" s="2">
        <f>1+K87*F71</f>
        <v>1</v>
      </c>
      <c r="M87" s="2">
        <f>(B71+B87)*H87*L87*E71</f>
        <v>120</v>
      </c>
      <c r="N87" s="2">
        <v>118</v>
      </c>
      <c r="O87" s="2">
        <f>C71*I87</f>
        <v>1.76</v>
      </c>
      <c r="P87" s="2"/>
      <c r="Q87" s="2">
        <v>20</v>
      </c>
      <c r="R87" s="2">
        <f t="shared" si="4"/>
        <v>176</v>
      </c>
      <c r="S87" s="2">
        <v>176</v>
      </c>
      <c r="T87" s="2">
        <f t="shared" si="5"/>
        <v>0</v>
      </c>
    </row>
    <row r="88" spans="1:20" x14ac:dyDescent="0.15">
      <c r="A88" s="2">
        <v>14</v>
      </c>
      <c r="B88" s="2">
        <v>76</v>
      </c>
      <c r="C88" s="2"/>
      <c r="D88" s="2"/>
      <c r="E88" s="2"/>
      <c r="F88" s="2">
        <v>14</v>
      </c>
      <c r="G88" s="2"/>
      <c r="H88" s="5">
        <v>1.6</v>
      </c>
      <c r="I88" s="5">
        <v>1.1000000000000001</v>
      </c>
      <c r="J88" s="2"/>
      <c r="K88" s="5">
        <v>0</v>
      </c>
      <c r="L88" s="2">
        <f>1+K88*F71</f>
        <v>1</v>
      </c>
      <c r="M88" s="2">
        <f>(B71+B88)*H88*L88*E71</f>
        <v>126.4</v>
      </c>
      <c r="N88" s="2">
        <v>127</v>
      </c>
      <c r="O88" s="2">
        <f>C71*I88</f>
        <v>1.76</v>
      </c>
      <c r="P88" s="2"/>
      <c r="Q88" s="2">
        <v>20</v>
      </c>
      <c r="R88" s="2">
        <f t="shared" si="4"/>
        <v>187.26400000000001</v>
      </c>
      <c r="S88" s="2">
        <v>187</v>
      </c>
      <c r="T88" s="2">
        <f t="shared" si="5"/>
        <v>0.26400000000003798</v>
      </c>
    </row>
    <row r="89" spans="1:20" x14ac:dyDescent="0.15">
      <c r="A89" s="2">
        <v>15</v>
      </c>
      <c r="B89" s="2">
        <v>135</v>
      </c>
      <c r="C89" s="2"/>
      <c r="D89" s="2"/>
      <c r="E89" s="2"/>
      <c r="F89" s="2">
        <v>15</v>
      </c>
      <c r="G89" s="2"/>
      <c r="H89" s="5">
        <v>1.7</v>
      </c>
      <c r="I89" s="5">
        <v>1.1499999999999999</v>
      </c>
      <c r="J89" s="2"/>
      <c r="K89" s="5">
        <v>0</v>
      </c>
      <c r="L89" s="2">
        <f>1+K89*F71</f>
        <v>1</v>
      </c>
      <c r="M89" s="2">
        <f>(B71+B89)*H89*L89*E71</f>
        <v>234.6</v>
      </c>
      <c r="N89" s="2">
        <v>234</v>
      </c>
      <c r="O89" s="2">
        <f>C71*I89</f>
        <v>1.84</v>
      </c>
      <c r="P89" s="2"/>
      <c r="Q89" s="2">
        <v>100</v>
      </c>
      <c r="R89" s="2">
        <f t="shared" si="4"/>
        <v>247.66399999999999</v>
      </c>
      <c r="S89" s="2">
        <v>247</v>
      </c>
      <c r="T89" s="2">
        <f t="shared" si="5"/>
        <v>0.66399999999995896</v>
      </c>
    </row>
    <row r="90" spans="1:20" x14ac:dyDescent="0.15">
      <c r="A90" s="2">
        <v>16</v>
      </c>
      <c r="B90" s="2">
        <v>135</v>
      </c>
      <c r="C90" s="2"/>
      <c r="D90" s="2"/>
      <c r="E90" s="2"/>
      <c r="F90" s="2">
        <v>16</v>
      </c>
      <c r="G90" s="2"/>
      <c r="H90" s="5">
        <v>1.8</v>
      </c>
      <c r="I90" s="5">
        <v>1.1499999999999999</v>
      </c>
      <c r="J90" s="2"/>
      <c r="K90" s="5">
        <v>0</v>
      </c>
      <c r="L90" s="2">
        <f>1+K90*F71</f>
        <v>1</v>
      </c>
      <c r="M90" s="2">
        <f>(B71+B90)*H90*L90*E71</f>
        <v>248.4</v>
      </c>
      <c r="N90" s="2">
        <v>250</v>
      </c>
      <c r="O90" s="2">
        <f>C71*I90</f>
        <v>1.84</v>
      </c>
      <c r="P90" s="2"/>
      <c r="Q90" s="2">
        <v>100</v>
      </c>
      <c r="R90" s="2">
        <f t="shared" si="4"/>
        <v>273.05599999999998</v>
      </c>
      <c r="S90" s="2">
        <v>273</v>
      </c>
      <c r="T90" s="2">
        <f t="shared" si="5"/>
        <v>5.5999999999983202E-2</v>
      </c>
    </row>
    <row r="91" spans="1:20" x14ac:dyDescent="0.15">
      <c r="A91" s="2">
        <v>17</v>
      </c>
      <c r="B91" s="2">
        <v>145</v>
      </c>
      <c r="C91" s="2"/>
      <c r="D91" s="2"/>
      <c r="E91" s="2"/>
      <c r="F91" s="2">
        <v>17</v>
      </c>
      <c r="G91" s="2"/>
      <c r="H91" s="5">
        <v>1.8</v>
      </c>
      <c r="I91" s="5">
        <v>1.1499999999999999</v>
      </c>
      <c r="J91" s="2"/>
      <c r="K91" s="5">
        <v>0</v>
      </c>
      <c r="L91" s="2">
        <f>1+K91*F71</f>
        <v>1</v>
      </c>
      <c r="M91" s="2">
        <f>(B71+B91)*H91*L91*E71</f>
        <v>266.39999999999998</v>
      </c>
      <c r="N91" s="2">
        <v>266</v>
      </c>
      <c r="O91" s="2">
        <f>C71*I91</f>
        <v>1.84</v>
      </c>
      <c r="P91" s="2"/>
      <c r="Q91" s="2">
        <v>100</v>
      </c>
      <c r="R91" s="2">
        <f t="shared" si="4"/>
        <v>306.17599999999999</v>
      </c>
      <c r="S91" s="2">
        <v>306</v>
      </c>
      <c r="T91" s="2">
        <f t="shared" si="5"/>
        <v>0.17600000000004501</v>
      </c>
    </row>
    <row r="92" spans="1:20" x14ac:dyDescent="0.15">
      <c r="A92" s="2">
        <v>18</v>
      </c>
      <c r="B92" s="2">
        <v>270</v>
      </c>
      <c r="C92" s="2"/>
      <c r="D92" s="2"/>
      <c r="E92" s="2"/>
      <c r="F92" s="2">
        <v>18</v>
      </c>
      <c r="G92" s="2"/>
      <c r="H92" s="5">
        <v>1.9</v>
      </c>
      <c r="I92" s="5">
        <v>1.2</v>
      </c>
      <c r="J92" s="2"/>
      <c r="K92" s="5">
        <v>0</v>
      </c>
      <c r="L92" s="2">
        <f>1+K92*F71</f>
        <v>1</v>
      </c>
      <c r="M92" s="2">
        <f>(B71+B92)*H92*L92*E71</f>
        <v>518.70000000000005</v>
      </c>
      <c r="N92" s="2">
        <v>520</v>
      </c>
      <c r="O92" s="2">
        <f>C71*I92</f>
        <v>1.92</v>
      </c>
      <c r="P92" s="2"/>
      <c r="Q92" s="2">
        <v>200</v>
      </c>
      <c r="R92" s="2">
        <f t="shared" si="4"/>
        <v>611.904</v>
      </c>
      <c r="S92" s="2">
        <v>611</v>
      </c>
      <c r="T92" s="2">
        <f t="shared" si="5"/>
        <v>0.90399999999988301</v>
      </c>
    </row>
    <row r="93" spans="1:20" x14ac:dyDescent="0.15">
      <c r="A93" s="2">
        <v>19</v>
      </c>
      <c r="B93" s="2">
        <v>295</v>
      </c>
      <c r="C93" s="2"/>
      <c r="D93" s="2"/>
      <c r="E93" s="2"/>
      <c r="F93" s="2">
        <v>19</v>
      </c>
      <c r="G93" s="2"/>
      <c r="H93" s="5">
        <v>1.9</v>
      </c>
      <c r="I93" s="5">
        <v>1.2</v>
      </c>
      <c r="J93" s="2"/>
      <c r="K93" s="5">
        <v>0</v>
      </c>
      <c r="L93" s="2">
        <f>1+K93*F71</f>
        <v>1</v>
      </c>
      <c r="M93" s="2">
        <f>(B71+B93)*H93*L93*E71</f>
        <v>566.20000000000005</v>
      </c>
      <c r="N93" s="2">
        <v>568</v>
      </c>
      <c r="O93" s="2">
        <f>C71*I93</f>
        <v>1.92</v>
      </c>
      <c r="P93" s="2"/>
      <c r="Q93" s="2">
        <v>200</v>
      </c>
      <c r="R93" s="2">
        <f t="shared" si="4"/>
        <v>703.10400000000004</v>
      </c>
      <c r="S93" s="2">
        <v>703</v>
      </c>
      <c r="T93" s="2">
        <f t="shared" si="5"/>
        <v>0.10399999999981401</v>
      </c>
    </row>
    <row r="94" spans="1:20" x14ac:dyDescent="0.15">
      <c r="A94" s="2">
        <v>20</v>
      </c>
      <c r="B94" s="2">
        <v>325</v>
      </c>
      <c r="C94" s="2"/>
      <c r="D94" s="2"/>
      <c r="E94" s="2"/>
      <c r="F94" s="2">
        <v>20</v>
      </c>
      <c r="G94" s="2"/>
      <c r="H94" s="5">
        <v>1.9</v>
      </c>
      <c r="I94" s="5">
        <v>1.2</v>
      </c>
      <c r="J94" s="2"/>
      <c r="K94" s="5">
        <v>0</v>
      </c>
      <c r="L94" s="2">
        <f>1+K94*F71</f>
        <v>1</v>
      </c>
      <c r="M94" s="2">
        <f>(B71+B94)*H94*L94*E71</f>
        <v>623.20000000000005</v>
      </c>
      <c r="N94" s="2">
        <v>618</v>
      </c>
      <c r="O94" s="2">
        <f>C71*I94</f>
        <v>1.92</v>
      </c>
      <c r="P94" s="2"/>
      <c r="Q94" s="2">
        <v>200</v>
      </c>
      <c r="R94" s="2">
        <f t="shared" si="4"/>
        <v>812.54399999999998</v>
      </c>
      <c r="S94" s="2">
        <v>812</v>
      </c>
      <c r="T94" s="2">
        <f t="shared" si="5"/>
        <v>0.54399999999986903</v>
      </c>
    </row>
    <row r="95" spans="1:20" x14ac:dyDescent="0.15">
      <c r="A95" s="2">
        <v>21</v>
      </c>
      <c r="B95" s="2">
        <v>350</v>
      </c>
      <c r="C95" s="2"/>
      <c r="D95" s="2"/>
      <c r="E95" s="2"/>
      <c r="F95" s="2">
        <v>21</v>
      </c>
      <c r="G95" s="2"/>
      <c r="H95" s="5">
        <v>2</v>
      </c>
      <c r="I95" s="5">
        <v>1.2</v>
      </c>
      <c r="J95" s="2"/>
      <c r="K95" s="5">
        <v>0</v>
      </c>
      <c r="L95" s="2">
        <f>1+K95*F71</f>
        <v>1</v>
      </c>
      <c r="M95" s="2">
        <f>(B71+B95)*H95*L95*E71</f>
        <v>706</v>
      </c>
      <c r="N95" s="2">
        <v>710</v>
      </c>
      <c r="O95" s="2">
        <f>C71*I95</f>
        <v>1.92</v>
      </c>
      <c r="P95" s="2"/>
      <c r="Q95" s="2">
        <v>200</v>
      </c>
      <c r="R95" s="2">
        <f t="shared" si="4"/>
        <v>971.52</v>
      </c>
      <c r="S95" s="2">
        <v>971</v>
      </c>
      <c r="T95" s="2">
        <f t="shared" si="5"/>
        <v>0.51999999999998203</v>
      </c>
    </row>
    <row r="100" spans="1:20" x14ac:dyDescent="0.15">
      <c r="A100" s="24" t="s">
        <v>25</v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4"/>
      <c r="P100" s="4"/>
    </row>
    <row r="101" spans="1:20" x14ac:dyDescent="0.15">
      <c r="A101" s="32" t="s">
        <v>26</v>
      </c>
      <c r="B101" s="32"/>
      <c r="C101" s="32"/>
      <c r="D101" s="32"/>
      <c r="E101" s="32"/>
      <c r="F101" s="32"/>
      <c r="G101" s="32"/>
      <c r="H101" s="25" t="s">
        <v>27</v>
      </c>
      <c r="I101" s="25"/>
      <c r="J101" s="25"/>
      <c r="K101" s="32" t="s">
        <v>28</v>
      </c>
      <c r="L101" s="32"/>
      <c r="M101" s="32"/>
      <c r="N101" s="32"/>
      <c r="O101" s="4"/>
      <c r="P101" s="4"/>
    </row>
    <row r="102" spans="1:20" x14ac:dyDescent="0.15">
      <c r="A102" s="33" t="s">
        <v>29</v>
      </c>
      <c r="B102" s="33"/>
      <c r="C102" s="33"/>
      <c r="D102" s="33"/>
      <c r="E102" s="33"/>
      <c r="F102" s="33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20" x14ac:dyDescent="0.15">
      <c r="A103" s="2" t="s">
        <v>30</v>
      </c>
      <c r="B103" s="2" t="s">
        <v>31</v>
      </c>
      <c r="C103" s="2" t="s">
        <v>32</v>
      </c>
      <c r="D103" s="2" t="s">
        <v>33</v>
      </c>
      <c r="E103" s="2" t="s">
        <v>34</v>
      </c>
      <c r="F103" s="2" t="s">
        <v>35</v>
      </c>
      <c r="G103" s="4"/>
      <c r="N103" s="4"/>
      <c r="O103" s="4"/>
      <c r="P103" s="4"/>
    </row>
    <row r="104" spans="1:20" x14ac:dyDescent="0.15">
      <c r="A104" s="2" t="s">
        <v>36</v>
      </c>
      <c r="B104" s="2">
        <v>3</v>
      </c>
      <c r="C104" s="2">
        <v>1.6</v>
      </c>
      <c r="D104" s="5">
        <v>1.1000000000000001</v>
      </c>
      <c r="E104" s="5">
        <v>1</v>
      </c>
      <c r="F104" s="2">
        <v>3</v>
      </c>
      <c r="G104" s="4"/>
      <c r="N104" s="4"/>
      <c r="O104" s="4"/>
      <c r="P104" s="4"/>
    </row>
    <row r="105" spans="1:20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20" x14ac:dyDescent="0.15">
      <c r="A106" s="18" t="s">
        <v>37</v>
      </c>
      <c r="B106" s="18"/>
      <c r="C106" s="18"/>
      <c r="D106" s="18"/>
      <c r="E106" s="18"/>
      <c r="F106" s="24" t="s">
        <v>38</v>
      </c>
      <c r="G106" s="24"/>
      <c r="H106" s="24"/>
      <c r="I106" s="24"/>
      <c r="J106" s="24"/>
      <c r="K106" s="32" t="s">
        <v>39</v>
      </c>
      <c r="L106" s="32"/>
      <c r="M106" s="25" t="s">
        <v>40</v>
      </c>
      <c r="N106" s="25"/>
      <c r="O106" s="25"/>
      <c r="P106" s="25"/>
      <c r="Q106" s="25"/>
      <c r="R106" s="25"/>
      <c r="S106" s="25"/>
      <c r="T106" s="25"/>
    </row>
    <row r="107" spans="1:20" x14ac:dyDescent="0.15">
      <c r="A107" s="2" t="s">
        <v>41</v>
      </c>
      <c r="B107" s="2" t="s">
        <v>42</v>
      </c>
      <c r="C107" s="2" t="s">
        <v>43</v>
      </c>
      <c r="D107" s="2" t="s">
        <v>44</v>
      </c>
      <c r="E107" s="2" t="s">
        <v>45</v>
      </c>
      <c r="F107" s="2" t="s">
        <v>41</v>
      </c>
      <c r="G107" s="2" t="s">
        <v>46</v>
      </c>
      <c r="H107" s="2" t="s">
        <v>47</v>
      </c>
      <c r="I107" s="2" t="s">
        <v>48</v>
      </c>
      <c r="J107" s="2" t="s">
        <v>49</v>
      </c>
      <c r="K107" s="2" t="s">
        <v>50</v>
      </c>
      <c r="L107" s="2" t="s">
        <v>51</v>
      </c>
      <c r="M107" s="2" t="s">
        <v>52</v>
      </c>
      <c r="N107" s="4" t="s">
        <v>53</v>
      </c>
      <c r="O107" s="2" t="s">
        <v>54</v>
      </c>
      <c r="P107" s="2" t="s">
        <v>22</v>
      </c>
      <c r="Q107" s="2" t="s">
        <v>4</v>
      </c>
      <c r="R107" s="2" t="s">
        <v>55</v>
      </c>
      <c r="S107" s="2" t="s">
        <v>56</v>
      </c>
      <c r="T107" s="2" t="s">
        <v>20</v>
      </c>
    </row>
    <row r="108" spans="1:20" x14ac:dyDescent="0.15">
      <c r="A108" s="2">
        <v>1</v>
      </c>
      <c r="B108" s="2">
        <v>6</v>
      </c>
      <c r="C108" s="2"/>
      <c r="D108" s="2"/>
      <c r="E108" s="2"/>
      <c r="F108" s="2">
        <v>1</v>
      </c>
      <c r="G108" s="2"/>
      <c r="H108" s="5">
        <v>1.1000000000000001</v>
      </c>
      <c r="I108" s="5">
        <v>1</v>
      </c>
      <c r="J108" s="2"/>
      <c r="K108" s="5">
        <v>0</v>
      </c>
      <c r="L108" s="2">
        <f>1+K108*F104</f>
        <v>1</v>
      </c>
      <c r="M108" s="2">
        <f>(B104+B108)*H108*L108*E104</f>
        <v>9.9</v>
      </c>
      <c r="N108" s="2">
        <v>10</v>
      </c>
      <c r="O108" s="2">
        <f>C104*I108</f>
        <v>1.6</v>
      </c>
      <c r="P108" s="2"/>
      <c r="Q108" s="2">
        <v>2</v>
      </c>
      <c r="R108" s="2">
        <f t="shared" ref="R108:R128" si="6">O108*(M108-Q108)</f>
        <v>12.64</v>
      </c>
      <c r="S108" s="2">
        <v>12</v>
      </c>
      <c r="T108" s="2">
        <f t="shared" ref="T108:T128" si="7">R108-S108</f>
        <v>0.64000000000000101</v>
      </c>
    </row>
    <row r="109" spans="1:20" x14ac:dyDescent="0.15">
      <c r="A109" s="2">
        <v>2</v>
      </c>
      <c r="B109" s="2">
        <v>7</v>
      </c>
      <c r="C109" s="2"/>
      <c r="D109" s="2"/>
      <c r="E109" s="2"/>
      <c r="F109" s="2">
        <v>2</v>
      </c>
      <c r="G109" s="2"/>
      <c r="H109" s="5">
        <v>1.1000000000000001</v>
      </c>
      <c r="I109" s="5">
        <v>1</v>
      </c>
      <c r="J109" s="2"/>
      <c r="K109" s="5">
        <v>0</v>
      </c>
      <c r="L109" s="2">
        <f>1+K109*F104</f>
        <v>1</v>
      </c>
      <c r="M109" s="2">
        <f>(B104+B109)*H109*L109*E104</f>
        <v>11</v>
      </c>
      <c r="N109" s="2">
        <v>11</v>
      </c>
      <c r="O109" s="2">
        <f>C104*I109</f>
        <v>1.6</v>
      </c>
      <c r="P109" s="2"/>
      <c r="Q109" s="2">
        <v>2</v>
      </c>
      <c r="R109" s="2">
        <f t="shared" si="6"/>
        <v>14.4</v>
      </c>
      <c r="S109" s="2">
        <v>14</v>
      </c>
      <c r="T109" s="2">
        <f t="shared" si="7"/>
        <v>0.4</v>
      </c>
    </row>
    <row r="110" spans="1:20" x14ac:dyDescent="0.15">
      <c r="A110" s="2">
        <v>3</v>
      </c>
      <c r="B110" s="2">
        <v>8</v>
      </c>
      <c r="C110" s="2"/>
      <c r="D110" s="2"/>
      <c r="E110" s="2"/>
      <c r="F110" s="2">
        <v>3</v>
      </c>
      <c r="G110" s="2"/>
      <c r="H110" s="5">
        <v>1.1000000000000001</v>
      </c>
      <c r="I110" s="5">
        <v>1</v>
      </c>
      <c r="J110" s="2"/>
      <c r="K110" s="5">
        <v>0</v>
      </c>
      <c r="L110" s="2">
        <f>1+K110*F104</f>
        <v>1</v>
      </c>
      <c r="M110" s="2">
        <f>(B104+B110)*H110*L110*E104</f>
        <v>12.1</v>
      </c>
      <c r="N110" s="2">
        <v>12</v>
      </c>
      <c r="O110" s="2">
        <f>C104*I110</f>
        <v>1.6</v>
      </c>
      <c r="P110" s="2"/>
      <c r="Q110" s="2">
        <v>2</v>
      </c>
      <c r="R110" s="2">
        <f t="shared" si="6"/>
        <v>16.16</v>
      </c>
      <c r="S110" s="2">
        <v>16</v>
      </c>
      <c r="T110" s="2">
        <f t="shared" si="7"/>
        <v>0.160000000000004</v>
      </c>
    </row>
    <row r="111" spans="1:20" x14ac:dyDescent="0.15">
      <c r="A111" s="2">
        <v>4</v>
      </c>
      <c r="B111" s="2">
        <v>10</v>
      </c>
      <c r="C111" s="2"/>
      <c r="D111" s="2"/>
      <c r="E111" s="2"/>
      <c r="F111" s="2">
        <v>4</v>
      </c>
      <c r="G111" s="2"/>
      <c r="H111" s="5">
        <v>1.2</v>
      </c>
      <c r="I111" s="5">
        <v>1</v>
      </c>
      <c r="J111" s="2"/>
      <c r="K111" s="5">
        <v>0</v>
      </c>
      <c r="L111" s="2">
        <f>1+K111*F104</f>
        <v>1</v>
      </c>
      <c r="M111" s="2">
        <f>(B104+B111)*H111*L111*E104</f>
        <v>15.6</v>
      </c>
      <c r="N111" s="2">
        <v>16</v>
      </c>
      <c r="O111" s="2">
        <f>C104*I111</f>
        <v>1.6</v>
      </c>
      <c r="P111" s="2"/>
      <c r="Q111" s="2">
        <v>2</v>
      </c>
      <c r="R111" s="2">
        <f t="shared" si="6"/>
        <v>21.76</v>
      </c>
      <c r="S111" s="2">
        <v>21</v>
      </c>
      <c r="T111" s="2">
        <f t="shared" si="7"/>
        <v>0.76000000000000201</v>
      </c>
    </row>
    <row r="112" spans="1:20" x14ac:dyDescent="0.15">
      <c r="A112" s="2">
        <v>5</v>
      </c>
      <c r="B112" s="2">
        <v>17</v>
      </c>
      <c r="C112" s="2"/>
      <c r="D112" s="2"/>
      <c r="E112" s="2"/>
      <c r="F112" s="2">
        <v>5</v>
      </c>
      <c r="G112" s="2"/>
      <c r="H112" s="5">
        <v>1.3</v>
      </c>
      <c r="I112" s="5">
        <v>1.05</v>
      </c>
      <c r="J112" s="2"/>
      <c r="K112" s="5">
        <v>0</v>
      </c>
      <c r="L112" s="2">
        <f>1+K112*F104</f>
        <v>1</v>
      </c>
      <c r="M112" s="2">
        <f>(B104+B112)*H112*L112*E104</f>
        <v>26</v>
      </c>
      <c r="N112" s="2">
        <v>26</v>
      </c>
      <c r="O112" s="2">
        <f>C104*I112</f>
        <v>1.68</v>
      </c>
      <c r="P112" s="2"/>
      <c r="Q112" s="2">
        <v>5</v>
      </c>
      <c r="R112" s="2">
        <f t="shared" si="6"/>
        <v>35.28</v>
      </c>
      <c r="S112" s="2">
        <v>35</v>
      </c>
      <c r="T112" s="2">
        <f t="shared" si="7"/>
        <v>0.28000000000000103</v>
      </c>
    </row>
    <row r="113" spans="1:20" x14ac:dyDescent="0.15">
      <c r="A113" s="2">
        <v>6</v>
      </c>
      <c r="B113" s="2">
        <v>20</v>
      </c>
      <c r="C113" s="2"/>
      <c r="D113" s="2"/>
      <c r="E113" s="2"/>
      <c r="F113" s="2">
        <v>6</v>
      </c>
      <c r="G113" s="2"/>
      <c r="H113" s="5">
        <v>1.3</v>
      </c>
      <c r="I113" s="5">
        <v>1.05</v>
      </c>
      <c r="J113" s="2"/>
      <c r="K113" s="5">
        <v>0</v>
      </c>
      <c r="L113" s="2">
        <f>1+K113*F104</f>
        <v>1</v>
      </c>
      <c r="M113" s="2">
        <f>(B104+B113)*H113*L113*E104</f>
        <v>29.9</v>
      </c>
      <c r="N113" s="2">
        <v>30</v>
      </c>
      <c r="O113" s="2">
        <f>C104*I113</f>
        <v>1.68</v>
      </c>
      <c r="P113" s="2"/>
      <c r="Q113" s="2">
        <v>5</v>
      </c>
      <c r="R113" s="2">
        <f t="shared" si="6"/>
        <v>41.832000000000001</v>
      </c>
      <c r="S113" s="2">
        <v>41</v>
      </c>
      <c r="T113" s="2">
        <f t="shared" si="7"/>
        <v>0.83200000000000796</v>
      </c>
    </row>
    <row r="114" spans="1:20" x14ac:dyDescent="0.15">
      <c r="A114" s="2">
        <v>7</v>
      </c>
      <c r="B114" s="2">
        <v>23</v>
      </c>
      <c r="C114" s="2"/>
      <c r="D114" s="2"/>
      <c r="E114" s="2"/>
      <c r="F114" s="2">
        <v>7</v>
      </c>
      <c r="G114" s="2"/>
      <c r="H114" s="5">
        <v>1.3</v>
      </c>
      <c r="I114" s="5">
        <v>1.05</v>
      </c>
      <c r="J114" s="2"/>
      <c r="K114" s="5">
        <v>0</v>
      </c>
      <c r="L114" s="2">
        <f>1+K114*F104</f>
        <v>1</v>
      </c>
      <c r="M114" s="2">
        <f>(B104+B114)*H114*L114*E104</f>
        <v>33.799999999999997</v>
      </c>
      <c r="N114" s="2">
        <v>34</v>
      </c>
      <c r="O114" s="2">
        <f>C104*I114</f>
        <v>1.68</v>
      </c>
      <c r="P114" s="2"/>
      <c r="Q114" s="2">
        <v>5</v>
      </c>
      <c r="R114" s="2">
        <f t="shared" si="6"/>
        <v>48.384</v>
      </c>
      <c r="S114" s="2">
        <v>48</v>
      </c>
      <c r="T114" s="2">
        <f t="shared" si="7"/>
        <v>0.384000000000015</v>
      </c>
    </row>
    <row r="115" spans="1:20" x14ac:dyDescent="0.15">
      <c r="A115" s="2">
        <v>8</v>
      </c>
      <c r="B115" s="2">
        <v>25</v>
      </c>
      <c r="C115" s="2"/>
      <c r="D115" s="2"/>
      <c r="E115" s="2"/>
      <c r="F115" s="2">
        <v>8</v>
      </c>
      <c r="G115" s="2"/>
      <c r="H115" s="5">
        <v>1.35</v>
      </c>
      <c r="I115" s="5">
        <v>1.05</v>
      </c>
      <c r="J115" s="2"/>
      <c r="K115" s="5">
        <v>0</v>
      </c>
      <c r="L115" s="2">
        <f>1+K115*F104</f>
        <v>1</v>
      </c>
      <c r="M115" s="2">
        <f>(B104+B115)*H115*L115*E104</f>
        <v>37.799999999999997</v>
      </c>
      <c r="N115" s="2">
        <v>38</v>
      </c>
      <c r="O115" s="2">
        <f>C104*I115</f>
        <v>1.68</v>
      </c>
      <c r="P115" s="2"/>
      <c r="Q115" s="2">
        <v>5</v>
      </c>
      <c r="R115" s="2">
        <f t="shared" si="6"/>
        <v>55.103999999999999</v>
      </c>
      <c r="S115" s="2">
        <v>55</v>
      </c>
      <c r="T115" s="2">
        <f t="shared" si="7"/>
        <v>0.104000000000013</v>
      </c>
    </row>
    <row r="116" spans="1:20" x14ac:dyDescent="0.15">
      <c r="A116" s="2">
        <v>9</v>
      </c>
      <c r="B116" s="2">
        <v>52</v>
      </c>
      <c r="C116" s="2"/>
      <c r="D116" s="2"/>
      <c r="E116" s="2"/>
      <c r="F116" s="2">
        <v>9</v>
      </c>
      <c r="G116" s="2"/>
      <c r="H116" s="5">
        <v>1.5</v>
      </c>
      <c r="I116" s="5">
        <v>1.1000000000000001</v>
      </c>
      <c r="J116" s="2"/>
      <c r="K116" s="5">
        <v>0</v>
      </c>
      <c r="L116" s="2">
        <f>1+K116*F104</f>
        <v>1</v>
      </c>
      <c r="M116" s="2">
        <f>(B104+B116)*H116*L116*E104</f>
        <v>82.5</v>
      </c>
      <c r="N116" s="2">
        <v>82</v>
      </c>
      <c r="O116" s="2">
        <f>C104*I116</f>
        <v>1.76</v>
      </c>
      <c r="P116" s="2"/>
      <c r="Q116" s="2">
        <v>20</v>
      </c>
      <c r="R116" s="2">
        <f t="shared" si="6"/>
        <v>110</v>
      </c>
      <c r="S116" s="2">
        <v>110</v>
      </c>
      <c r="T116" s="2">
        <f t="shared" si="7"/>
        <v>0</v>
      </c>
    </row>
    <row r="117" spans="1:20" x14ac:dyDescent="0.15">
      <c r="A117" s="2">
        <v>10</v>
      </c>
      <c r="B117" s="2">
        <v>57</v>
      </c>
      <c r="C117" s="2"/>
      <c r="D117" s="2"/>
      <c r="E117" s="2"/>
      <c r="F117" s="2">
        <v>10</v>
      </c>
      <c r="G117" s="2"/>
      <c r="H117" s="5">
        <v>1.5</v>
      </c>
      <c r="I117" s="5">
        <v>1.1000000000000001</v>
      </c>
      <c r="J117" s="2"/>
      <c r="K117" s="5">
        <v>0</v>
      </c>
      <c r="L117" s="2">
        <f>1+K117*F104</f>
        <v>1</v>
      </c>
      <c r="M117" s="2">
        <f>(B104+B117)*H117*L117*E104</f>
        <v>90</v>
      </c>
      <c r="N117" s="2">
        <v>91</v>
      </c>
      <c r="O117" s="2">
        <f>C104*I117</f>
        <v>1.76</v>
      </c>
      <c r="P117" s="2"/>
      <c r="Q117" s="2">
        <v>20</v>
      </c>
      <c r="R117" s="2">
        <f t="shared" si="6"/>
        <v>123.2</v>
      </c>
      <c r="S117" s="2">
        <v>123</v>
      </c>
      <c r="T117" s="2">
        <f t="shared" si="7"/>
        <v>0.200000000000017</v>
      </c>
    </row>
    <row r="118" spans="1:20" x14ac:dyDescent="0.15">
      <c r="A118" s="2">
        <v>11</v>
      </c>
      <c r="B118" s="2">
        <v>62</v>
      </c>
      <c r="C118" s="2"/>
      <c r="D118" s="2"/>
      <c r="E118" s="2"/>
      <c r="F118" s="2">
        <v>11</v>
      </c>
      <c r="G118" s="2"/>
      <c r="H118" s="5">
        <v>1.5</v>
      </c>
      <c r="I118" s="5">
        <v>1.1000000000000001</v>
      </c>
      <c r="J118" s="2"/>
      <c r="K118" s="5">
        <v>0</v>
      </c>
      <c r="L118" s="2">
        <f>1+K118*F104</f>
        <v>1</v>
      </c>
      <c r="M118" s="2">
        <f>(B104+B118)*H118*L118*E104</f>
        <v>97.5</v>
      </c>
      <c r="N118" s="2">
        <v>100</v>
      </c>
      <c r="O118" s="2">
        <f>C104*I118</f>
        <v>1.76</v>
      </c>
      <c r="P118" s="2"/>
      <c r="Q118" s="2">
        <v>20</v>
      </c>
      <c r="R118" s="2">
        <f t="shared" si="6"/>
        <v>136.4</v>
      </c>
      <c r="S118" s="2">
        <v>136</v>
      </c>
      <c r="T118" s="2">
        <f t="shared" si="7"/>
        <v>0.40000000000000602</v>
      </c>
    </row>
    <row r="119" spans="1:20" x14ac:dyDescent="0.15">
      <c r="A119" s="2">
        <v>12</v>
      </c>
      <c r="B119" s="2">
        <v>70</v>
      </c>
      <c r="C119" s="2"/>
      <c r="D119" s="2"/>
      <c r="E119" s="2"/>
      <c r="F119" s="2">
        <v>12</v>
      </c>
      <c r="G119" s="2"/>
      <c r="H119" s="5">
        <v>1.5</v>
      </c>
      <c r="I119" s="5">
        <v>1.1000000000000001</v>
      </c>
      <c r="J119" s="2"/>
      <c r="K119" s="5">
        <v>0</v>
      </c>
      <c r="L119" s="2">
        <f>1+K119*F104</f>
        <v>1</v>
      </c>
      <c r="M119" s="2">
        <f>(B104+B119)*H119*L119*E104</f>
        <v>109.5</v>
      </c>
      <c r="N119" s="2">
        <v>109</v>
      </c>
      <c r="O119" s="2">
        <f>C104*I119</f>
        <v>1.76</v>
      </c>
      <c r="P119" s="2"/>
      <c r="Q119" s="2">
        <v>20</v>
      </c>
      <c r="R119" s="2">
        <f t="shared" si="6"/>
        <v>157.52000000000001</v>
      </c>
      <c r="S119" s="2">
        <v>157</v>
      </c>
      <c r="T119" s="2">
        <f t="shared" si="7"/>
        <v>0.52000000000001001</v>
      </c>
    </row>
    <row r="120" spans="1:20" x14ac:dyDescent="0.15">
      <c r="A120" s="2">
        <v>13</v>
      </c>
      <c r="B120" s="2">
        <v>72</v>
      </c>
      <c r="C120" s="2"/>
      <c r="D120" s="2"/>
      <c r="E120" s="2"/>
      <c r="F120" s="2">
        <v>13</v>
      </c>
      <c r="G120" s="2"/>
      <c r="H120" s="5">
        <v>1.6</v>
      </c>
      <c r="I120" s="5">
        <v>1.1000000000000001</v>
      </c>
      <c r="J120" s="2"/>
      <c r="K120" s="5">
        <v>0</v>
      </c>
      <c r="L120" s="2">
        <f>1+K120*F104</f>
        <v>1</v>
      </c>
      <c r="M120" s="2">
        <f>(B104+B120)*H120*L120*E104</f>
        <v>120</v>
      </c>
      <c r="N120" s="2">
        <v>118</v>
      </c>
      <c r="O120" s="2">
        <f>C104*I120</f>
        <v>1.76</v>
      </c>
      <c r="P120" s="2"/>
      <c r="Q120" s="2">
        <v>20</v>
      </c>
      <c r="R120" s="2">
        <f t="shared" si="6"/>
        <v>176</v>
      </c>
      <c r="S120" s="2">
        <v>176</v>
      </c>
      <c r="T120" s="2">
        <f t="shared" si="7"/>
        <v>0</v>
      </c>
    </row>
    <row r="121" spans="1:20" x14ac:dyDescent="0.15">
      <c r="A121" s="2">
        <v>14</v>
      </c>
      <c r="B121" s="2">
        <v>76</v>
      </c>
      <c r="C121" s="2"/>
      <c r="D121" s="2"/>
      <c r="E121" s="2"/>
      <c r="F121" s="2">
        <v>14</v>
      </c>
      <c r="G121" s="2"/>
      <c r="H121" s="5">
        <v>1.6</v>
      </c>
      <c r="I121" s="5">
        <v>1.1000000000000001</v>
      </c>
      <c r="J121" s="2"/>
      <c r="K121" s="5">
        <v>0</v>
      </c>
      <c r="L121" s="2">
        <f>1+K121*F104</f>
        <v>1</v>
      </c>
      <c r="M121" s="2">
        <f>(B104+B121)*H121*L121*E104</f>
        <v>126.4</v>
      </c>
      <c r="N121" s="2">
        <v>127</v>
      </c>
      <c r="O121" s="2">
        <f>C104*I121</f>
        <v>1.76</v>
      </c>
      <c r="P121" s="2"/>
      <c r="Q121" s="2">
        <v>20</v>
      </c>
      <c r="R121" s="2">
        <f t="shared" si="6"/>
        <v>187.26400000000001</v>
      </c>
      <c r="S121" s="2">
        <v>187</v>
      </c>
      <c r="T121" s="2">
        <f t="shared" si="7"/>
        <v>0.26400000000003798</v>
      </c>
    </row>
    <row r="122" spans="1:20" x14ac:dyDescent="0.15">
      <c r="A122" s="2">
        <v>15</v>
      </c>
      <c r="B122" s="2">
        <v>135</v>
      </c>
      <c r="C122" s="2"/>
      <c r="D122" s="2"/>
      <c r="E122" s="2"/>
      <c r="F122" s="2">
        <v>15</v>
      </c>
      <c r="G122" s="2"/>
      <c r="H122" s="5">
        <v>1.7</v>
      </c>
      <c r="I122" s="5">
        <v>1.1499999999999999</v>
      </c>
      <c r="J122" s="2"/>
      <c r="K122" s="5">
        <v>0</v>
      </c>
      <c r="L122" s="2">
        <f>1+K122*F104</f>
        <v>1</v>
      </c>
      <c r="M122" s="2">
        <f>(B104+B122)*H122*L122*E104</f>
        <v>234.6</v>
      </c>
      <c r="N122" s="2">
        <v>234</v>
      </c>
      <c r="O122" s="2">
        <f>C104*I122</f>
        <v>1.84</v>
      </c>
      <c r="P122" s="2"/>
      <c r="Q122" s="2">
        <v>100</v>
      </c>
      <c r="R122" s="2">
        <f t="shared" si="6"/>
        <v>247.66399999999999</v>
      </c>
      <c r="S122" s="2">
        <v>247</v>
      </c>
      <c r="T122" s="2">
        <f t="shared" si="7"/>
        <v>0.66399999999995896</v>
      </c>
    </row>
    <row r="123" spans="1:20" x14ac:dyDescent="0.15">
      <c r="A123" s="2">
        <v>16</v>
      </c>
      <c r="B123" s="2">
        <v>135</v>
      </c>
      <c r="C123" s="2"/>
      <c r="D123" s="2"/>
      <c r="E123" s="2"/>
      <c r="F123" s="2">
        <v>16</v>
      </c>
      <c r="G123" s="2"/>
      <c r="H123" s="5">
        <v>1.8</v>
      </c>
      <c r="I123" s="5">
        <v>1.1499999999999999</v>
      </c>
      <c r="J123" s="2"/>
      <c r="K123" s="5">
        <v>0</v>
      </c>
      <c r="L123" s="2">
        <f>1+K123*F104</f>
        <v>1</v>
      </c>
      <c r="M123" s="2">
        <f>(B104+B123)*H123*L123*E104</f>
        <v>248.4</v>
      </c>
      <c r="N123" s="2">
        <v>250</v>
      </c>
      <c r="O123" s="2">
        <f>C104*I123</f>
        <v>1.84</v>
      </c>
      <c r="P123" s="2"/>
      <c r="Q123" s="2">
        <v>100</v>
      </c>
      <c r="R123" s="2">
        <f t="shared" si="6"/>
        <v>273.05599999999998</v>
      </c>
      <c r="S123" s="2">
        <v>273</v>
      </c>
      <c r="T123" s="2">
        <f t="shared" si="7"/>
        <v>5.5999999999983202E-2</v>
      </c>
    </row>
    <row r="124" spans="1:20" x14ac:dyDescent="0.15">
      <c r="A124" s="2">
        <v>17</v>
      </c>
      <c r="B124" s="2">
        <v>145</v>
      </c>
      <c r="C124" s="2"/>
      <c r="D124" s="2"/>
      <c r="E124" s="2"/>
      <c r="F124" s="2">
        <v>17</v>
      </c>
      <c r="G124" s="2"/>
      <c r="H124" s="5">
        <v>1.8</v>
      </c>
      <c r="I124" s="5">
        <v>1.1499999999999999</v>
      </c>
      <c r="J124" s="2"/>
      <c r="K124" s="5">
        <v>0</v>
      </c>
      <c r="L124" s="2">
        <f>1+K124*F104</f>
        <v>1</v>
      </c>
      <c r="M124" s="2">
        <f>(B104+B124)*H124*L124*E104</f>
        <v>266.39999999999998</v>
      </c>
      <c r="N124" s="2">
        <v>266</v>
      </c>
      <c r="O124" s="2">
        <f>C104*I124</f>
        <v>1.84</v>
      </c>
      <c r="P124" s="2"/>
      <c r="Q124" s="2">
        <v>100</v>
      </c>
      <c r="R124" s="2">
        <f t="shared" si="6"/>
        <v>306.17599999999999</v>
      </c>
      <c r="S124" s="2">
        <v>306</v>
      </c>
      <c r="T124" s="2">
        <f t="shared" si="7"/>
        <v>0.17600000000004501</v>
      </c>
    </row>
    <row r="125" spans="1:20" x14ac:dyDescent="0.15">
      <c r="A125" s="2">
        <v>18</v>
      </c>
      <c r="B125" s="2">
        <v>270</v>
      </c>
      <c r="C125" s="2"/>
      <c r="D125" s="2"/>
      <c r="E125" s="2"/>
      <c r="F125" s="2">
        <v>18</v>
      </c>
      <c r="G125" s="2"/>
      <c r="H125" s="5">
        <v>1.9</v>
      </c>
      <c r="I125" s="5">
        <v>1.2</v>
      </c>
      <c r="J125" s="2"/>
      <c r="K125" s="5">
        <v>0</v>
      </c>
      <c r="L125" s="2">
        <f>1+K125*F104</f>
        <v>1</v>
      </c>
      <c r="M125" s="2">
        <f>(B104+B125)*H125*L125*E104</f>
        <v>518.70000000000005</v>
      </c>
      <c r="N125" s="2">
        <v>520</v>
      </c>
      <c r="O125" s="2">
        <f>C104*I125</f>
        <v>1.92</v>
      </c>
      <c r="P125" s="2"/>
      <c r="Q125" s="2">
        <v>200</v>
      </c>
      <c r="R125" s="2">
        <f t="shared" si="6"/>
        <v>611.904</v>
      </c>
      <c r="S125" s="2">
        <v>611</v>
      </c>
      <c r="T125" s="2">
        <f t="shared" si="7"/>
        <v>0.90399999999988301</v>
      </c>
    </row>
    <row r="126" spans="1:20" x14ac:dyDescent="0.15">
      <c r="A126" s="2">
        <v>19</v>
      </c>
      <c r="B126" s="2">
        <v>295</v>
      </c>
      <c r="C126" s="2"/>
      <c r="D126" s="2"/>
      <c r="E126" s="2"/>
      <c r="F126" s="2">
        <v>19</v>
      </c>
      <c r="G126" s="2"/>
      <c r="H126" s="5">
        <v>1.9</v>
      </c>
      <c r="I126" s="5">
        <v>1.2</v>
      </c>
      <c r="J126" s="2"/>
      <c r="K126" s="5">
        <v>0</v>
      </c>
      <c r="L126" s="2">
        <f>1+K126*F104</f>
        <v>1</v>
      </c>
      <c r="M126" s="2">
        <f>(B104+B126)*H126*L126*E104</f>
        <v>566.20000000000005</v>
      </c>
      <c r="N126" s="2">
        <v>568</v>
      </c>
      <c r="O126" s="2">
        <f>C104*I126</f>
        <v>1.92</v>
      </c>
      <c r="P126" s="2"/>
      <c r="Q126" s="2">
        <v>200</v>
      </c>
      <c r="R126" s="2">
        <f t="shared" si="6"/>
        <v>703.10400000000004</v>
      </c>
      <c r="S126" s="2">
        <v>703</v>
      </c>
      <c r="T126" s="2">
        <f t="shared" si="7"/>
        <v>0.10399999999981401</v>
      </c>
    </row>
    <row r="127" spans="1:20" x14ac:dyDescent="0.15">
      <c r="A127" s="2">
        <v>20</v>
      </c>
      <c r="B127" s="2">
        <v>325</v>
      </c>
      <c r="C127" s="2"/>
      <c r="D127" s="2"/>
      <c r="E127" s="2"/>
      <c r="F127" s="2">
        <v>20</v>
      </c>
      <c r="G127" s="2"/>
      <c r="H127" s="5">
        <v>1.9</v>
      </c>
      <c r="I127" s="5">
        <v>1.2</v>
      </c>
      <c r="J127" s="2"/>
      <c r="K127" s="5">
        <v>0</v>
      </c>
      <c r="L127" s="2">
        <f>1+K127*F104</f>
        <v>1</v>
      </c>
      <c r="M127" s="2">
        <f>(B104+B127)*H127*L127*E104</f>
        <v>623.20000000000005</v>
      </c>
      <c r="N127" s="2">
        <v>618</v>
      </c>
      <c r="O127" s="2">
        <f>C104*I127</f>
        <v>1.92</v>
      </c>
      <c r="P127" s="2"/>
      <c r="Q127" s="2">
        <v>200</v>
      </c>
      <c r="R127" s="2">
        <f t="shared" si="6"/>
        <v>812.54399999999998</v>
      </c>
      <c r="S127" s="2">
        <v>812</v>
      </c>
      <c r="T127" s="2">
        <f t="shared" si="7"/>
        <v>0.54399999999986903</v>
      </c>
    </row>
    <row r="128" spans="1:20" x14ac:dyDescent="0.15">
      <c r="A128" s="2">
        <v>21</v>
      </c>
      <c r="B128" s="2">
        <v>350</v>
      </c>
      <c r="C128" s="2"/>
      <c r="D128" s="2"/>
      <c r="E128" s="2"/>
      <c r="F128" s="2">
        <v>21</v>
      </c>
      <c r="G128" s="2"/>
      <c r="H128" s="5">
        <v>2</v>
      </c>
      <c r="I128" s="5">
        <v>1.2</v>
      </c>
      <c r="J128" s="2"/>
      <c r="K128" s="5">
        <v>0</v>
      </c>
      <c r="L128" s="2">
        <f>1+K128*F104</f>
        <v>1</v>
      </c>
      <c r="M128" s="2">
        <f>(B104+B128)*H128*L128*E104</f>
        <v>706</v>
      </c>
      <c r="N128" s="2">
        <v>710</v>
      </c>
      <c r="O128" s="2">
        <f>C104*I128</f>
        <v>1.92</v>
      </c>
      <c r="P128" s="2"/>
      <c r="Q128" s="2">
        <v>200</v>
      </c>
      <c r="R128" s="2">
        <f t="shared" si="6"/>
        <v>971.52</v>
      </c>
      <c r="S128" s="2">
        <v>971</v>
      </c>
      <c r="T128" s="2">
        <f t="shared" si="7"/>
        <v>0.51999999999998203</v>
      </c>
    </row>
    <row r="334" spans="1:12" x14ac:dyDescent="0.15">
      <c r="A334" s="24" t="s">
        <v>25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</row>
    <row r="335" spans="1:12" x14ac:dyDescent="0.15">
      <c r="A335" s="32" t="s">
        <v>58</v>
      </c>
      <c r="B335" s="32"/>
      <c r="C335" s="32"/>
      <c r="D335" s="32"/>
      <c r="E335" s="32"/>
      <c r="F335" s="32"/>
      <c r="G335" s="32"/>
      <c r="H335" s="25" t="s">
        <v>27</v>
      </c>
      <c r="I335" s="25"/>
      <c r="J335" s="25"/>
      <c r="K335" s="2" t="s">
        <v>4</v>
      </c>
      <c r="L335" s="2" t="s">
        <v>55</v>
      </c>
    </row>
    <row r="336" spans="1:12" x14ac:dyDescent="0.15">
      <c r="A336" s="2" t="s">
        <v>59</v>
      </c>
      <c r="B336" s="2" t="s">
        <v>60</v>
      </c>
      <c r="C336" s="2" t="s">
        <v>61</v>
      </c>
      <c r="D336" s="2" t="s">
        <v>62</v>
      </c>
      <c r="E336" s="2" t="s">
        <v>62</v>
      </c>
      <c r="F336" s="2" t="s">
        <v>63</v>
      </c>
      <c r="G336" s="1" t="s">
        <v>64</v>
      </c>
      <c r="H336" s="2" t="s">
        <v>52</v>
      </c>
      <c r="I336" s="2" t="s">
        <v>54</v>
      </c>
      <c r="J336" s="2" t="s">
        <v>22</v>
      </c>
      <c r="K336" s="21">
        <v>2</v>
      </c>
      <c r="L336" s="21">
        <f>I337*(H337-K336)</f>
        <v>0</v>
      </c>
    </row>
    <row r="337" spans="1:17" x14ac:dyDescent="0.15">
      <c r="A337" s="2" t="s">
        <v>42</v>
      </c>
      <c r="B337" s="2"/>
      <c r="C337" s="2"/>
      <c r="D337" s="2"/>
      <c r="E337" s="2"/>
      <c r="F337" s="2"/>
      <c r="G337" s="21"/>
      <c r="H337" s="21"/>
      <c r="I337" s="21"/>
      <c r="J337" s="23"/>
      <c r="K337" s="23"/>
      <c r="L337" s="23"/>
    </row>
    <row r="338" spans="1:17" x14ac:dyDescent="0.15">
      <c r="A338" s="2" t="s">
        <v>43</v>
      </c>
      <c r="B338" s="2"/>
      <c r="C338" s="2"/>
      <c r="D338" s="2"/>
      <c r="E338" s="2"/>
      <c r="F338" s="2"/>
      <c r="G338" s="22"/>
      <c r="H338" s="22"/>
      <c r="I338" s="22"/>
      <c r="J338" s="29"/>
      <c r="K338" s="21">
        <v>10</v>
      </c>
      <c r="L338" s="21">
        <f>I337*(H337-K338)</f>
        <v>0</v>
      </c>
    </row>
    <row r="339" spans="1:17" x14ac:dyDescent="0.15">
      <c r="A339" s="2" t="s">
        <v>44</v>
      </c>
      <c r="B339" s="2"/>
      <c r="C339" s="2"/>
      <c r="D339" s="2"/>
      <c r="E339" s="2"/>
      <c r="F339" s="2"/>
      <c r="G339" s="22"/>
      <c r="H339" s="22"/>
      <c r="I339" s="22"/>
      <c r="J339" s="29"/>
      <c r="K339" s="23"/>
      <c r="L339" s="23"/>
    </row>
    <row r="340" spans="1:17" x14ac:dyDescent="0.15">
      <c r="A340" s="2" t="s">
        <v>45</v>
      </c>
      <c r="B340" s="2"/>
      <c r="C340" s="2"/>
      <c r="D340" s="2"/>
      <c r="E340" s="2"/>
      <c r="F340" s="2"/>
      <c r="G340" s="22"/>
      <c r="H340" s="22"/>
      <c r="I340" s="22"/>
      <c r="J340" s="29"/>
      <c r="K340" s="21">
        <v>25</v>
      </c>
      <c r="L340" s="21">
        <f>I337*(H337-K340)</f>
        <v>0</v>
      </c>
    </row>
    <row r="341" spans="1:17" x14ac:dyDescent="0.15">
      <c r="A341" s="2" t="s">
        <v>46</v>
      </c>
      <c r="B341" s="2"/>
      <c r="C341" s="2"/>
      <c r="D341" s="2"/>
      <c r="E341" s="2"/>
      <c r="F341" s="2"/>
      <c r="G341" s="22"/>
      <c r="H341" s="22"/>
      <c r="I341" s="22"/>
      <c r="J341" s="29"/>
      <c r="K341" s="23"/>
      <c r="L341" s="23"/>
    </row>
    <row r="342" spans="1:17" x14ac:dyDescent="0.15">
      <c r="A342" s="2" t="s">
        <v>47</v>
      </c>
      <c r="B342" s="2"/>
      <c r="C342" s="2"/>
      <c r="D342" s="2"/>
      <c r="E342" s="2"/>
      <c r="F342" s="2"/>
      <c r="G342" s="22"/>
      <c r="H342" s="22"/>
      <c r="I342" s="22"/>
      <c r="J342" s="29"/>
      <c r="K342" s="21">
        <v>100</v>
      </c>
      <c r="L342" s="21">
        <f>I337*(H337-K342)</f>
        <v>0</v>
      </c>
    </row>
    <row r="343" spans="1:17" x14ac:dyDescent="0.15">
      <c r="A343" s="2" t="s">
        <v>48</v>
      </c>
      <c r="B343" s="2"/>
      <c r="C343" s="2"/>
      <c r="D343" s="2"/>
      <c r="E343" s="2"/>
      <c r="F343" s="2"/>
      <c r="G343" s="22"/>
      <c r="H343" s="22"/>
      <c r="I343" s="22"/>
      <c r="J343" s="29"/>
      <c r="K343" s="23"/>
      <c r="L343" s="23"/>
    </row>
    <row r="344" spans="1:17" x14ac:dyDescent="0.15">
      <c r="A344" s="2" t="s">
        <v>49</v>
      </c>
      <c r="B344" s="2"/>
      <c r="C344" s="2"/>
      <c r="D344" s="2"/>
      <c r="E344" s="2"/>
      <c r="F344" s="2"/>
      <c r="G344" s="22"/>
      <c r="H344" s="22"/>
      <c r="I344" s="22"/>
      <c r="J344" s="29"/>
      <c r="K344" s="21">
        <v>200</v>
      </c>
      <c r="L344" s="21">
        <f>I337*(H337-K344)</f>
        <v>0</v>
      </c>
    </row>
    <row r="345" spans="1:17" x14ac:dyDescent="0.15">
      <c r="A345" s="2" t="s">
        <v>39</v>
      </c>
      <c r="B345" s="2"/>
      <c r="C345" s="2"/>
      <c r="D345" s="2"/>
      <c r="E345" s="2"/>
      <c r="F345" s="2"/>
      <c r="G345" s="23"/>
      <c r="H345" s="23"/>
      <c r="I345" s="23"/>
      <c r="J345" s="29"/>
      <c r="K345" s="23"/>
      <c r="L345" s="23"/>
    </row>
    <row r="346" spans="1:17" x14ac:dyDescent="0.15">
      <c r="A346" s="24" t="s">
        <v>65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</row>
    <row r="347" spans="1:17" x14ac:dyDescent="0.15">
      <c r="A347" s="32" t="s">
        <v>66</v>
      </c>
      <c r="B347" s="32"/>
      <c r="C347" s="32"/>
      <c r="D347" s="32"/>
      <c r="E347" s="32"/>
      <c r="F347" s="25" t="s">
        <v>67</v>
      </c>
      <c r="G347" s="25"/>
      <c r="H347" s="25"/>
      <c r="I347" s="32" t="s">
        <v>68</v>
      </c>
      <c r="J347" s="32"/>
      <c r="K347" s="32"/>
      <c r="L347" s="32"/>
      <c r="M347" s="32"/>
    </row>
    <row r="348" spans="1:17" x14ac:dyDescent="0.15">
      <c r="A348" s="18" t="s">
        <v>69</v>
      </c>
      <c r="B348" s="18"/>
      <c r="C348" s="18"/>
      <c r="D348" s="7" t="s">
        <v>70</v>
      </c>
    </row>
    <row r="349" spans="1:17" x14ac:dyDescent="0.15">
      <c r="A349" s="29" t="s">
        <v>41</v>
      </c>
      <c r="B349" s="29" t="s">
        <v>71</v>
      </c>
      <c r="C349" s="29" t="s">
        <v>72</v>
      </c>
      <c r="D349" s="29" t="s">
        <v>73</v>
      </c>
      <c r="E349" s="29"/>
      <c r="F349" s="29"/>
      <c r="G349" s="29" t="s">
        <v>74</v>
      </c>
      <c r="H349" s="29"/>
      <c r="I349" s="29"/>
      <c r="J349" s="29" t="s">
        <v>75</v>
      </c>
      <c r="K349" s="29"/>
      <c r="L349" s="29"/>
      <c r="M349" s="29" t="s">
        <v>76</v>
      </c>
      <c r="N349" s="29"/>
      <c r="O349" s="29"/>
      <c r="P349" s="29" t="s">
        <v>77</v>
      </c>
      <c r="Q349" s="29"/>
    </row>
    <row r="350" spans="1:17" x14ac:dyDescent="0.15">
      <c r="A350" s="29"/>
      <c r="B350" s="29"/>
      <c r="C350" s="29"/>
      <c r="D350" s="2" t="s">
        <v>78</v>
      </c>
      <c r="E350" s="2" t="s">
        <v>4</v>
      </c>
      <c r="F350" s="2" t="s">
        <v>5</v>
      </c>
      <c r="G350" s="2" t="s">
        <v>78</v>
      </c>
      <c r="H350" s="2" t="s">
        <v>4</v>
      </c>
      <c r="I350" s="2" t="s">
        <v>5</v>
      </c>
      <c r="J350" s="2" t="s">
        <v>78</v>
      </c>
      <c r="K350" s="2" t="s">
        <v>4</v>
      </c>
      <c r="L350" s="2" t="s">
        <v>5</v>
      </c>
      <c r="M350" s="2" t="s">
        <v>78</v>
      </c>
      <c r="N350" s="2" t="s">
        <v>4</v>
      </c>
      <c r="O350" s="2" t="s">
        <v>5</v>
      </c>
      <c r="P350" s="29"/>
      <c r="Q350" s="29"/>
    </row>
    <row r="351" spans="1:17" x14ac:dyDescent="0.15">
      <c r="A351" s="2">
        <v>1</v>
      </c>
      <c r="B351" s="1">
        <v>0</v>
      </c>
      <c r="C351" s="1">
        <v>0</v>
      </c>
      <c r="D351" s="8">
        <v>0.20799999999999999</v>
      </c>
      <c r="E351" s="2">
        <f>CEILING(B351*D351,1)</f>
        <v>0</v>
      </c>
      <c r="F351" s="2">
        <f>C351/4</f>
        <v>0</v>
      </c>
      <c r="G351" s="8">
        <v>0.33300000000000002</v>
      </c>
      <c r="H351" s="2">
        <f>CEILING(B351*G351,1)</f>
        <v>0</v>
      </c>
      <c r="I351" s="2">
        <f>C351/4</f>
        <v>0</v>
      </c>
      <c r="J351" s="8">
        <v>0.29099999999999998</v>
      </c>
      <c r="K351" s="2">
        <f>CEILING(B351*J351,1)</f>
        <v>0</v>
      </c>
      <c r="L351" s="2">
        <f>C351/4</f>
        <v>0</v>
      </c>
      <c r="M351" s="8">
        <v>0.16600000000000001</v>
      </c>
      <c r="N351" s="2">
        <f>CEILING(B351*M351,1)</f>
        <v>0</v>
      </c>
      <c r="O351" s="2">
        <f>C351/4</f>
        <v>0</v>
      </c>
      <c r="P351" s="30">
        <f>E351+H351+K351+N351</f>
        <v>0</v>
      </c>
      <c r="Q351" s="31"/>
    </row>
    <row r="352" spans="1:17" x14ac:dyDescent="0.15">
      <c r="A352" s="2">
        <v>2</v>
      </c>
      <c r="B352" s="1">
        <v>4</v>
      </c>
      <c r="C352" s="1">
        <v>0</v>
      </c>
      <c r="D352" s="8">
        <v>0.20799999999999999</v>
      </c>
      <c r="E352" s="2">
        <f t="shared" ref="E352:E371" si="8">CEILING(B352*D352,1)</f>
        <v>1</v>
      </c>
      <c r="F352" s="2">
        <f t="shared" ref="F352:F371" si="9">C352/4</f>
        <v>0</v>
      </c>
      <c r="G352" s="8">
        <v>0.33300000000000002</v>
      </c>
      <c r="H352" s="2">
        <f t="shared" ref="H352:H371" si="10">CEILING(B352*G352,1)</f>
        <v>2</v>
      </c>
      <c r="I352" s="2">
        <f t="shared" ref="I352:I371" si="11">C352/4</f>
        <v>0</v>
      </c>
      <c r="J352" s="8">
        <v>0.29099999999999998</v>
      </c>
      <c r="K352" s="2">
        <f t="shared" ref="K352:K371" si="12">CEILING(B352*J352,1)</f>
        <v>2</v>
      </c>
      <c r="L352" s="2">
        <f t="shared" ref="L352:L371" si="13">C352/4</f>
        <v>0</v>
      </c>
      <c r="M352" s="8">
        <v>0.16600000000000001</v>
      </c>
      <c r="N352" s="2">
        <f t="shared" ref="N352:N371" si="14">CEILING(B352*M352,1)</f>
        <v>1</v>
      </c>
      <c r="O352" s="2">
        <f t="shared" ref="O352:O371" si="15">C352/4</f>
        <v>0</v>
      </c>
      <c r="P352" s="30">
        <f t="shared" ref="P352:P371" si="16">E352+H352+K352+N352</f>
        <v>6</v>
      </c>
      <c r="Q352" s="31"/>
    </row>
    <row r="353" spans="1:17" x14ac:dyDescent="0.15">
      <c r="A353" s="2">
        <v>3</v>
      </c>
      <c r="B353" s="1">
        <v>8</v>
      </c>
      <c r="C353" s="1">
        <v>0</v>
      </c>
      <c r="D353" s="8">
        <v>0.20799999999999999</v>
      </c>
      <c r="E353" s="2">
        <f t="shared" si="8"/>
        <v>2</v>
      </c>
      <c r="F353" s="2">
        <f t="shared" si="9"/>
        <v>0</v>
      </c>
      <c r="G353" s="8">
        <v>0.33300000000000002</v>
      </c>
      <c r="H353" s="2">
        <f t="shared" si="10"/>
        <v>3</v>
      </c>
      <c r="I353" s="2">
        <f t="shared" si="11"/>
        <v>0</v>
      </c>
      <c r="J353" s="8">
        <v>0.29099999999999998</v>
      </c>
      <c r="K353" s="2">
        <f t="shared" si="12"/>
        <v>3</v>
      </c>
      <c r="L353" s="2">
        <f t="shared" si="13"/>
        <v>0</v>
      </c>
      <c r="M353" s="8">
        <v>0.16600000000000001</v>
      </c>
      <c r="N353" s="2">
        <f t="shared" si="14"/>
        <v>2</v>
      </c>
      <c r="O353" s="2">
        <f t="shared" si="15"/>
        <v>0</v>
      </c>
      <c r="P353" s="30">
        <f t="shared" si="16"/>
        <v>10</v>
      </c>
      <c r="Q353" s="31"/>
    </row>
    <row r="354" spans="1:17" x14ac:dyDescent="0.15">
      <c r="A354" s="2">
        <v>4</v>
      </c>
      <c r="B354" s="1">
        <v>8</v>
      </c>
      <c r="C354" s="1">
        <v>4</v>
      </c>
      <c r="D354" s="8">
        <v>0.20799999999999999</v>
      </c>
      <c r="E354" s="2">
        <f t="shared" si="8"/>
        <v>2</v>
      </c>
      <c r="F354" s="2">
        <f t="shared" si="9"/>
        <v>1</v>
      </c>
      <c r="G354" s="8">
        <v>0.33300000000000002</v>
      </c>
      <c r="H354" s="2">
        <f t="shared" si="10"/>
        <v>3</v>
      </c>
      <c r="I354" s="2">
        <f t="shared" si="11"/>
        <v>1</v>
      </c>
      <c r="J354" s="8">
        <v>0.29099999999999998</v>
      </c>
      <c r="K354" s="2">
        <f t="shared" si="12"/>
        <v>3</v>
      </c>
      <c r="L354" s="2">
        <f t="shared" si="13"/>
        <v>1</v>
      </c>
      <c r="M354" s="8">
        <v>0.16600000000000001</v>
      </c>
      <c r="N354" s="2">
        <f t="shared" si="14"/>
        <v>2</v>
      </c>
      <c r="O354" s="2">
        <f t="shared" si="15"/>
        <v>1</v>
      </c>
      <c r="P354" s="30">
        <f t="shared" si="16"/>
        <v>10</v>
      </c>
      <c r="Q354" s="31"/>
    </row>
    <row r="355" spans="1:17" x14ac:dyDescent="0.15">
      <c r="A355" s="2">
        <v>5</v>
      </c>
      <c r="B355" s="1">
        <v>12</v>
      </c>
      <c r="C355" s="1">
        <v>4</v>
      </c>
      <c r="D355" s="8">
        <v>0.20799999999999999</v>
      </c>
      <c r="E355" s="2">
        <f t="shared" si="8"/>
        <v>3</v>
      </c>
      <c r="F355" s="2">
        <f t="shared" si="9"/>
        <v>1</v>
      </c>
      <c r="G355" s="8">
        <v>0.33300000000000002</v>
      </c>
      <c r="H355" s="2">
        <f t="shared" si="10"/>
        <v>4</v>
      </c>
      <c r="I355" s="2">
        <f t="shared" si="11"/>
        <v>1</v>
      </c>
      <c r="J355" s="8">
        <v>0.29099999999999998</v>
      </c>
      <c r="K355" s="2">
        <f t="shared" si="12"/>
        <v>4</v>
      </c>
      <c r="L355" s="2">
        <f t="shared" si="13"/>
        <v>1</v>
      </c>
      <c r="M355" s="8">
        <v>0.16600000000000001</v>
      </c>
      <c r="N355" s="2">
        <f t="shared" si="14"/>
        <v>2</v>
      </c>
      <c r="O355" s="2">
        <f t="shared" si="15"/>
        <v>1</v>
      </c>
      <c r="P355" s="30">
        <f t="shared" si="16"/>
        <v>13</v>
      </c>
      <c r="Q355" s="31"/>
    </row>
    <row r="356" spans="1:17" x14ac:dyDescent="0.15">
      <c r="A356" s="2">
        <v>6</v>
      </c>
      <c r="B356" s="1">
        <v>16</v>
      </c>
      <c r="C356" s="1">
        <v>4</v>
      </c>
      <c r="D356" s="8">
        <v>0.20799999999999999</v>
      </c>
      <c r="E356" s="2">
        <f t="shared" si="8"/>
        <v>4</v>
      </c>
      <c r="F356" s="2">
        <f t="shared" si="9"/>
        <v>1</v>
      </c>
      <c r="G356" s="8">
        <v>0.33300000000000002</v>
      </c>
      <c r="H356" s="2">
        <f t="shared" si="10"/>
        <v>6</v>
      </c>
      <c r="I356" s="2">
        <f t="shared" si="11"/>
        <v>1</v>
      </c>
      <c r="J356" s="8">
        <v>0.29099999999999998</v>
      </c>
      <c r="K356" s="2">
        <f t="shared" si="12"/>
        <v>5</v>
      </c>
      <c r="L356" s="2">
        <f t="shared" si="13"/>
        <v>1</v>
      </c>
      <c r="M356" s="8">
        <v>0.16600000000000001</v>
      </c>
      <c r="N356" s="2">
        <f t="shared" si="14"/>
        <v>3</v>
      </c>
      <c r="O356" s="2">
        <f t="shared" si="15"/>
        <v>1</v>
      </c>
      <c r="P356" s="30">
        <f t="shared" si="16"/>
        <v>18</v>
      </c>
      <c r="Q356" s="31"/>
    </row>
    <row r="357" spans="1:17" x14ac:dyDescent="0.15">
      <c r="A357" s="2">
        <v>7</v>
      </c>
      <c r="B357" s="1">
        <v>16</v>
      </c>
      <c r="C357" s="1">
        <v>8</v>
      </c>
      <c r="D357" s="8">
        <v>0.20799999999999999</v>
      </c>
      <c r="E357" s="2">
        <f t="shared" si="8"/>
        <v>4</v>
      </c>
      <c r="F357" s="2">
        <f t="shared" si="9"/>
        <v>2</v>
      </c>
      <c r="G357" s="8">
        <v>0.33300000000000002</v>
      </c>
      <c r="H357" s="2">
        <f t="shared" si="10"/>
        <v>6</v>
      </c>
      <c r="I357" s="2">
        <f t="shared" si="11"/>
        <v>2</v>
      </c>
      <c r="J357" s="8">
        <v>0.29099999999999998</v>
      </c>
      <c r="K357" s="2">
        <f t="shared" si="12"/>
        <v>5</v>
      </c>
      <c r="L357" s="2">
        <f t="shared" si="13"/>
        <v>2</v>
      </c>
      <c r="M357" s="8">
        <v>0.16600000000000001</v>
      </c>
      <c r="N357" s="2">
        <f t="shared" si="14"/>
        <v>3</v>
      </c>
      <c r="O357" s="2">
        <f t="shared" si="15"/>
        <v>2</v>
      </c>
      <c r="P357" s="30">
        <f t="shared" si="16"/>
        <v>18</v>
      </c>
      <c r="Q357" s="31"/>
    </row>
    <row r="358" spans="1:17" x14ac:dyDescent="0.15">
      <c r="A358" s="2">
        <v>8</v>
      </c>
      <c r="B358" s="1">
        <v>20</v>
      </c>
      <c r="C358" s="1">
        <v>8</v>
      </c>
      <c r="D358" s="8">
        <v>0.20799999999999999</v>
      </c>
      <c r="E358" s="2">
        <f t="shared" si="8"/>
        <v>5</v>
      </c>
      <c r="F358" s="2">
        <f t="shared" si="9"/>
        <v>2</v>
      </c>
      <c r="G358" s="8">
        <v>0.33300000000000002</v>
      </c>
      <c r="H358" s="2">
        <f t="shared" si="10"/>
        <v>7</v>
      </c>
      <c r="I358" s="2">
        <f t="shared" si="11"/>
        <v>2</v>
      </c>
      <c r="J358" s="8">
        <v>0.29099999999999998</v>
      </c>
      <c r="K358" s="2">
        <f t="shared" si="12"/>
        <v>6</v>
      </c>
      <c r="L358" s="2">
        <f t="shared" si="13"/>
        <v>2</v>
      </c>
      <c r="M358" s="8">
        <v>0.16600000000000001</v>
      </c>
      <c r="N358" s="2">
        <f t="shared" si="14"/>
        <v>4</v>
      </c>
      <c r="O358" s="2">
        <f t="shared" si="15"/>
        <v>2</v>
      </c>
      <c r="P358" s="30">
        <f t="shared" si="16"/>
        <v>22</v>
      </c>
      <c r="Q358" s="31"/>
    </row>
    <row r="359" spans="1:17" x14ac:dyDescent="0.15">
      <c r="A359" s="2">
        <v>9</v>
      </c>
      <c r="B359" s="1">
        <v>24</v>
      </c>
      <c r="C359" s="1">
        <v>8</v>
      </c>
      <c r="D359" s="8">
        <v>0.20799999999999999</v>
      </c>
      <c r="E359" s="2">
        <f t="shared" si="8"/>
        <v>5</v>
      </c>
      <c r="F359" s="2">
        <f t="shared" si="9"/>
        <v>2</v>
      </c>
      <c r="G359" s="8">
        <v>0.33300000000000002</v>
      </c>
      <c r="H359" s="2">
        <f t="shared" si="10"/>
        <v>8</v>
      </c>
      <c r="I359" s="2">
        <f t="shared" si="11"/>
        <v>2</v>
      </c>
      <c r="J359" s="8">
        <v>0.29099999999999998</v>
      </c>
      <c r="K359" s="2">
        <f t="shared" si="12"/>
        <v>7</v>
      </c>
      <c r="L359" s="2">
        <f t="shared" si="13"/>
        <v>2</v>
      </c>
      <c r="M359" s="8">
        <v>0.16600000000000001</v>
      </c>
      <c r="N359" s="2">
        <f t="shared" si="14"/>
        <v>4</v>
      </c>
      <c r="O359" s="2">
        <f t="shared" si="15"/>
        <v>2</v>
      </c>
      <c r="P359" s="30">
        <f t="shared" si="16"/>
        <v>24</v>
      </c>
      <c r="Q359" s="31"/>
    </row>
    <row r="360" spans="1:17" x14ac:dyDescent="0.15">
      <c r="A360" s="2">
        <v>10</v>
      </c>
      <c r="B360" s="1">
        <v>28</v>
      </c>
      <c r="C360" s="1">
        <v>12</v>
      </c>
      <c r="D360" s="8">
        <v>0.20799999999999999</v>
      </c>
      <c r="E360" s="2">
        <f t="shared" si="8"/>
        <v>6</v>
      </c>
      <c r="F360" s="2">
        <f t="shared" si="9"/>
        <v>3</v>
      </c>
      <c r="G360" s="8">
        <v>0.33300000000000002</v>
      </c>
      <c r="H360" s="2">
        <f t="shared" si="10"/>
        <v>10</v>
      </c>
      <c r="I360" s="2">
        <f t="shared" si="11"/>
        <v>3</v>
      </c>
      <c r="J360" s="8">
        <v>0.29099999999999998</v>
      </c>
      <c r="K360" s="2">
        <f t="shared" si="12"/>
        <v>9</v>
      </c>
      <c r="L360" s="2">
        <f t="shared" si="13"/>
        <v>3</v>
      </c>
      <c r="M360" s="8">
        <v>0.16600000000000001</v>
      </c>
      <c r="N360" s="2">
        <f t="shared" si="14"/>
        <v>5</v>
      </c>
      <c r="O360" s="2">
        <f t="shared" si="15"/>
        <v>3</v>
      </c>
      <c r="P360" s="30">
        <f t="shared" si="16"/>
        <v>30</v>
      </c>
      <c r="Q360" s="31"/>
    </row>
    <row r="361" spans="1:17" x14ac:dyDescent="0.15">
      <c r="A361" s="2">
        <v>11</v>
      </c>
      <c r="B361" s="1">
        <v>32</v>
      </c>
      <c r="C361" s="1">
        <v>12</v>
      </c>
      <c r="D361" s="8">
        <v>0.20799999999999999</v>
      </c>
      <c r="E361" s="2">
        <f t="shared" si="8"/>
        <v>7</v>
      </c>
      <c r="F361" s="2">
        <f t="shared" si="9"/>
        <v>3</v>
      </c>
      <c r="G361" s="8">
        <v>0.33300000000000002</v>
      </c>
      <c r="H361" s="2">
        <f t="shared" si="10"/>
        <v>11</v>
      </c>
      <c r="I361" s="2">
        <f t="shared" si="11"/>
        <v>3</v>
      </c>
      <c r="J361" s="8">
        <v>0.29099999999999998</v>
      </c>
      <c r="K361" s="2">
        <f t="shared" si="12"/>
        <v>10</v>
      </c>
      <c r="L361" s="2">
        <f t="shared" si="13"/>
        <v>3</v>
      </c>
      <c r="M361" s="8">
        <v>0.16600000000000001</v>
      </c>
      <c r="N361" s="2">
        <f t="shared" si="14"/>
        <v>6</v>
      </c>
      <c r="O361" s="2">
        <f t="shared" si="15"/>
        <v>3</v>
      </c>
      <c r="P361" s="30">
        <f t="shared" si="16"/>
        <v>34</v>
      </c>
      <c r="Q361" s="31"/>
    </row>
    <row r="362" spans="1:17" x14ac:dyDescent="0.15">
      <c r="A362" s="2">
        <v>12</v>
      </c>
      <c r="B362" s="1">
        <v>36</v>
      </c>
      <c r="C362" s="1">
        <v>12</v>
      </c>
      <c r="D362" s="8">
        <v>0.20799999999999999</v>
      </c>
      <c r="E362" s="2">
        <f t="shared" si="8"/>
        <v>8</v>
      </c>
      <c r="F362" s="2">
        <f t="shared" si="9"/>
        <v>3</v>
      </c>
      <c r="G362" s="8">
        <v>0.33300000000000002</v>
      </c>
      <c r="H362" s="2">
        <f t="shared" si="10"/>
        <v>12</v>
      </c>
      <c r="I362" s="2">
        <f t="shared" si="11"/>
        <v>3</v>
      </c>
      <c r="J362" s="8">
        <v>0.29099999999999998</v>
      </c>
      <c r="K362" s="2">
        <f t="shared" si="12"/>
        <v>11</v>
      </c>
      <c r="L362" s="2">
        <f t="shared" si="13"/>
        <v>3</v>
      </c>
      <c r="M362" s="8">
        <v>0.16600000000000001</v>
      </c>
      <c r="N362" s="2">
        <f t="shared" si="14"/>
        <v>6</v>
      </c>
      <c r="O362" s="2">
        <f t="shared" si="15"/>
        <v>3</v>
      </c>
      <c r="P362" s="30">
        <f t="shared" si="16"/>
        <v>37</v>
      </c>
      <c r="Q362" s="31"/>
    </row>
    <row r="363" spans="1:17" x14ac:dyDescent="0.15">
      <c r="A363" s="2">
        <v>13</v>
      </c>
      <c r="B363" s="1">
        <v>40</v>
      </c>
      <c r="C363" s="1">
        <v>12</v>
      </c>
      <c r="D363" s="8">
        <v>0.20799999999999999</v>
      </c>
      <c r="E363" s="2">
        <f t="shared" si="8"/>
        <v>9</v>
      </c>
      <c r="F363" s="2">
        <f t="shared" si="9"/>
        <v>3</v>
      </c>
      <c r="G363" s="8">
        <v>0.33300000000000002</v>
      </c>
      <c r="H363" s="2">
        <f t="shared" si="10"/>
        <v>14</v>
      </c>
      <c r="I363" s="2">
        <f t="shared" si="11"/>
        <v>3</v>
      </c>
      <c r="J363" s="8">
        <v>0.29099999999999998</v>
      </c>
      <c r="K363" s="2">
        <f t="shared" si="12"/>
        <v>12</v>
      </c>
      <c r="L363" s="2">
        <f t="shared" si="13"/>
        <v>3</v>
      </c>
      <c r="M363" s="8">
        <v>0.16600000000000001</v>
      </c>
      <c r="N363" s="2">
        <f t="shared" si="14"/>
        <v>7</v>
      </c>
      <c r="O363" s="2">
        <f t="shared" si="15"/>
        <v>3</v>
      </c>
      <c r="P363" s="30">
        <f t="shared" si="16"/>
        <v>42</v>
      </c>
      <c r="Q363" s="31"/>
    </row>
    <row r="364" spans="1:17" x14ac:dyDescent="0.15">
      <c r="A364" s="2">
        <v>14</v>
      </c>
      <c r="B364" s="1">
        <v>40</v>
      </c>
      <c r="C364" s="1">
        <v>16</v>
      </c>
      <c r="D364" s="8">
        <v>0.20799999999999999</v>
      </c>
      <c r="E364" s="2">
        <f t="shared" si="8"/>
        <v>9</v>
      </c>
      <c r="F364" s="2">
        <f t="shared" si="9"/>
        <v>4</v>
      </c>
      <c r="G364" s="8">
        <v>0.33300000000000002</v>
      </c>
      <c r="H364" s="2">
        <f t="shared" si="10"/>
        <v>14</v>
      </c>
      <c r="I364" s="2">
        <f t="shared" si="11"/>
        <v>4</v>
      </c>
      <c r="J364" s="8">
        <v>0.29099999999999998</v>
      </c>
      <c r="K364" s="2">
        <f t="shared" si="12"/>
        <v>12</v>
      </c>
      <c r="L364" s="2">
        <f t="shared" si="13"/>
        <v>4</v>
      </c>
      <c r="M364" s="8">
        <v>0.16600000000000001</v>
      </c>
      <c r="N364" s="2">
        <f t="shared" si="14"/>
        <v>7</v>
      </c>
      <c r="O364" s="2">
        <f t="shared" si="15"/>
        <v>4</v>
      </c>
      <c r="P364" s="30">
        <f t="shared" si="16"/>
        <v>42</v>
      </c>
      <c r="Q364" s="31"/>
    </row>
    <row r="365" spans="1:17" x14ac:dyDescent="0.15">
      <c r="A365" s="2">
        <v>15</v>
      </c>
      <c r="B365" s="1">
        <v>44</v>
      </c>
      <c r="C365" s="1">
        <v>16</v>
      </c>
      <c r="D365" s="8">
        <v>0.20799999999999999</v>
      </c>
      <c r="E365" s="2">
        <f t="shared" si="8"/>
        <v>10</v>
      </c>
      <c r="F365" s="2">
        <f t="shared" si="9"/>
        <v>4</v>
      </c>
      <c r="G365" s="8">
        <v>0.33300000000000002</v>
      </c>
      <c r="H365" s="2">
        <f t="shared" si="10"/>
        <v>15</v>
      </c>
      <c r="I365" s="2">
        <f t="shared" si="11"/>
        <v>4</v>
      </c>
      <c r="J365" s="8">
        <v>0.29099999999999998</v>
      </c>
      <c r="K365" s="2">
        <f t="shared" si="12"/>
        <v>13</v>
      </c>
      <c r="L365" s="2">
        <f t="shared" si="13"/>
        <v>4</v>
      </c>
      <c r="M365" s="8">
        <v>0.16600000000000001</v>
      </c>
      <c r="N365" s="2">
        <f t="shared" si="14"/>
        <v>8</v>
      </c>
      <c r="O365" s="2">
        <f t="shared" si="15"/>
        <v>4</v>
      </c>
      <c r="P365" s="30">
        <f t="shared" si="16"/>
        <v>46</v>
      </c>
      <c r="Q365" s="31"/>
    </row>
    <row r="366" spans="1:17" x14ac:dyDescent="0.15">
      <c r="A366" s="2">
        <v>16</v>
      </c>
      <c r="B366" s="1">
        <v>52</v>
      </c>
      <c r="C366" s="1">
        <v>20</v>
      </c>
      <c r="D366" s="8">
        <v>0.20799999999999999</v>
      </c>
      <c r="E366" s="2">
        <f t="shared" si="8"/>
        <v>11</v>
      </c>
      <c r="F366" s="2">
        <f t="shared" si="9"/>
        <v>5</v>
      </c>
      <c r="G366" s="8">
        <v>0.33300000000000002</v>
      </c>
      <c r="H366" s="2">
        <f t="shared" si="10"/>
        <v>18</v>
      </c>
      <c r="I366" s="2">
        <f t="shared" si="11"/>
        <v>5</v>
      </c>
      <c r="J366" s="8">
        <v>0.29099999999999998</v>
      </c>
      <c r="K366" s="2">
        <f t="shared" si="12"/>
        <v>16</v>
      </c>
      <c r="L366" s="2">
        <f t="shared" si="13"/>
        <v>5</v>
      </c>
      <c r="M366" s="8">
        <v>0.16600000000000001</v>
      </c>
      <c r="N366" s="2">
        <f t="shared" si="14"/>
        <v>9</v>
      </c>
      <c r="O366" s="2">
        <f t="shared" si="15"/>
        <v>5</v>
      </c>
      <c r="P366" s="30">
        <f t="shared" si="16"/>
        <v>54</v>
      </c>
      <c r="Q366" s="31"/>
    </row>
    <row r="367" spans="1:17" x14ac:dyDescent="0.15">
      <c r="A367" s="2">
        <v>17</v>
      </c>
      <c r="B367" s="1">
        <v>56</v>
      </c>
      <c r="C367" s="1">
        <v>24</v>
      </c>
      <c r="D367" s="8">
        <v>0.20799999999999999</v>
      </c>
      <c r="E367" s="2">
        <f t="shared" si="8"/>
        <v>12</v>
      </c>
      <c r="F367" s="2">
        <f t="shared" si="9"/>
        <v>6</v>
      </c>
      <c r="G367" s="8">
        <v>0.33300000000000002</v>
      </c>
      <c r="H367" s="2">
        <f t="shared" si="10"/>
        <v>19</v>
      </c>
      <c r="I367" s="2">
        <f t="shared" si="11"/>
        <v>6</v>
      </c>
      <c r="J367" s="8">
        <v>0.29099999999999998</v>
      </c>
      <c r="K367" s="2">
        <f t="shared" si="12"/>
        <v>17</v>
      </c>
      <c r="L367" s="2">
        <f t="shared" si="13"/>
        <v>6</v>
      </c>
      <c r="M367" s="8">
        <v>0.16600000000000001</v>
      </c>
      <c r="N367" s="2">
        <f t="shared" si="14"/>
        <v>10</v>
      </c>
      <c r="O367" s="2">
        <f t="shared" si="15"/>
        <v>6</v>
      </c>
      <c r="P367" s="30">
        <f t="shared" si="16"/>
        <v>58</v>
      </c>
      <c r="Q367" s="31"/>
    </row>
    <row r="368" spans="1:17" x14ac:dyDescent="0.15">
      <c r="A368" s="2">
        <v>18</v>
      </c>
      <c r="B368" s="1">
        <v>60</v>
      </c>
      <c r="C368" s="1">
        <v>28</v>
      </c>
      <c r="D368" s="8">
        <v>0.20799999999999999</v>
      </c>
      <c r="E368" s="2">
        <f t="shared" si="8"/>
        <v>13</v>
      </c>
      <c r="F368" s="2">
        <f t="shared" si="9"/>
        <v>7</v>
      </c>
      <c r="G368" s="8">
        <v>0.33300000000000002</v>
      </c>
      <c r="H368" s="2">
        <f t="shared" si="10"/>
        <v>20</v>
      </c>
      <c r="I368" s="2">
        <f t="shared" si="11"/>
        <v>7</v>
      </c>
      <c r="J368" s="8">
        <v>0.29099999999999998</v>
      </c>
      <c r="K368" s="2">
        <f t="shared" si="12"/>
        <v>18</v>
      </c>
      <c r="L368" s="2">
        <f t="shared" si="13"/>
        <v>7</v>
      </c>
      <c r="M368" s="8">
        <v>0.16600000000000001</v>
      </c>
      <c r="N368" s="2">
        <f t="shared" si="14"/>
        <v>10</v>
      </c>
      <c r="O368" s="2">
        <f t="shared" si="15"/>
        <v>7</v>
      </c>
      <c r="P368" s="30">
        <f t="shared" si="16"/>
        <v>61</v>
      </c>
      <c r="Q368" s="31"/>
    </row>
    <row r="369" spans="1:17" x14ac:dyDescent="0.15">
      <c r="A369" s="2">
        <v>19</v>
      </c>
      <c r="B369" s="1">
        <v>64</v>
      </c>
      <c r="C369" s="1">
        <v>32</v>
      </c>
      <c r="D369" s="8">
        <v>0.20799999999999999</v>
      </c>
      <c r="E369" s="2">
        <f t="shared" si="8"/>
        <v>14</v>
      </c>
      <c r="F369" s="2">
        <f t="shared" si="9"/>
        <v>8</v>
      </c>
      <c r="G369" s="8">
        <v>0.33300000000000002</v>
      </c>
      <c r="H369" s="2">
        <f t="shared" si="10"/>
        <v>22</v>
      </c>
      <c r="I369" s="2">
        <f t="shared" si="11"/>
        <v>8</v>
      </c>
      <c r="J369" s="8">
        <v>0.29099999999999998</v>
      </c>
      <c r="K369" s="2">
        <f t="shared" si="12"/>
        <v>19</v>
      </c>
      <c r="L369" s="2">
        <f t="shared" si="13"/>
        <v>8</v>
      </c>
      <c r="M369" s="8">
        <v>0.16600000000000001</v>
      </c>
      <c r="N369" s="2">
        <f t="shared" si="14"/>
        <v>11</v>
      </c>
      <c r="O369" s="2">
        <f t="shared" si="15"/>
        <v>8</v>
      </c>
      <c r="P369" s="30">
        <f t="shared" si="16"/>
        <v>66</v>
      </c>
      <c r="Q369" s="31"/>
    </row>
    <row r="370" spans="1:17" x14ac:dyDescent="0.15">
      <c r="A370" s="2">
        <v>20</v>
      </c>
      <c r="B370" s="1">
        <v>68</v>
      </c>
      <c r="C370" s="1">
        <v>36</v>
      </c>
      <c r="D370" s="8">
        <v>0.20799999999999999</v>
      </c>
      <c r="E370" s="2">
        <f t="shared" si="8"/>
        <v>15</v>
      </c>
      <c r="F370" s="2">
        <f t="shared" si="9"/>
        <v>9</v>
      </c>
      <c r="G370" s="8">
        <v>0.33300000000000002</v>
      </c>
      <c r="H370" s="2">
        <f t="shared" si="10"/>
        <v>23</v>
      </c>
      <c r="I370" s="2">
        <f t="shared" si="11"/>
        <v>9</v>
      </c>
      <c r="J370" s="8">
        <v>0.29099999999999998</v>
      </c>
      <c r="K370" s="2">
        <f t="shared" si="12"/>
        <v>20</v>
      </c>
      <c r="L370" s="2">
        <f t="shared" si="13"/>
        <v>9</v>
      </c>
      <c r="M370" s="8">
        <v>0.16600000000000001</v>
      </c>
      <c r="N370" s="2">
        <f t="shared" si="14"/>
        <v>12</v>
      </c>
      <c r="O370" s="2">
        <f t="shared" si="15"/>
        <v>9</v>
      </c>
      <c r="P370" s="30">
        <f t="shared" si="16"/>
        <v>70</v>
      </c>
      <c r="Q370" s="31"/>
    </row>
    <row r="371" spans="1:17" x14ac:dyDescent="0.15">
      <c r="A371" s="2">
        <v>21</v>
      </c>
      <c r="B371" s="1">
        <v>72</v>
      </c>
      <c r="C371" s="1">
        <v>40</v>
      </c>
      <c r="D371" s="8">
        <v>0.20799999999999999</v>
      </c>
      <c r="E371" s="2">
        <f t="shared" si="8"/>
        <v>15</v>
      </c>
      <c r="F371" s="2">
        <f t="shared" si="9"/>
        <v>10</v>
      </c>
      <c r="G371" s="8">
        <v>0.33300000000000002</v>
      </c>
      <c r="H371" s="2">
        <f t="shared" si="10"/>
        <v>24</v>
      </c>
      <c r="I371" s="2">
        <f t="shared" si="11"/>
        <v>10</v>
      </c>
      <c r="J371" s="8">
        <v>0.29099999999999998</v>
      </c>
      <c r="K371" s="2">
        <f t="shared" si="12"/>
        <v>21</v>
      </c>
      <c r="L371" s="2">
        <f t="shared" si="13"/>
        <v>10</v>
      </c>
      <c r="M371" s="8">
        <v>0.16600000000000001</v>
      </c>
      <c r="N371" s="2">
        <f t="shared" si="14"/>
        <v>12</v>
      </c>
      <c r="O371" s="2">
        <f t="shared" si="15"/>
        <v>10</v>
      </c>
      <c r="P371" s="30">
        <f t="shared" si="16"/>
        <v>72</v>
      </c>
      <c r="Q371" s="31"/>
    </row>
  </sheetData>
  <mergeCells count="87">
    <mergeCell ref="A1:N1"/>
    <mergeCell ref="A2:G2"/>
    <mergeCell ref="H2:J2"/>
    <mergeCell ref="K2:N2"/>
    <mergeCell ref="A3:F3"/>
    <mergeCell ref="A7:E7"/>
    <mergeCell ref="F7:J7"/>
    <mergeCell ref="K7:L7"/>
    <mergeCell ref="M7:T7"/>
    <mergeCell ref="A34:N34"/>
    <mergeCell ref="A35:G35"/>
    <mergeCell ref="H35:J35"/>
    <mergeCell ref="K35:N35"/>
    <mergeCell ref="A36:F36"/>
    <mergeCell ref="A40:E40"/>
    <mergeCell ref="F40:J40"/>
    <mergeCell ref="K40:L40"/>
    <mergeCell ref="M40:T40"/>
    <mergeCell ref="A67:N67"/>
    <mergeCell ref="A68:G68"/>
    <mergeCell ref="H68:J68"/>
    <mergeCell ref="K68:N68"/>
    <mergeCell ref="A69:F69"/>
    <mergeCell ref="A73:E73"/>
    <mergeCell ref="F73:J73"/>
    <mergeCell ref="K73:L73"/>
    <mergeCell ref="M73:T73"/>
    <mergeCell ref="A100:N100"/>
    <mergeCell ref="A101:G101"/>
    <mergeCell ref="H101:J101"/>
    <mergeCell ref="K101:N101"/>
    <mergeCell ref="A102:F102"/>
    <mergeCell ref="A106:E106"/>
    <mergeCell ref="F106:J106"/>
    <mergeCell ref="K106:L106"/>
    <mergeCell ref="M106:T106"/>
    <mergeCell ref="A334:L334"/>
    <mergeCell ref="A335:G335"/>
    <mergeCell ref="H335:J335"/>
    <mergeCell ref="A346:M346"/>
    <mergeCell ref="A347:E347"/>
    <mergeCell ref="F347:H347"/>
    <mergeCell ref="I347:M347"/>
    <mergeCell ref="L342:L343"/>
    <mergeCell ref="L344:L345"/>
    <mergeCell ref="A348:C348"/>
    <mergeCell ref="D349:F349"/>
    <mergeCell ref="G349:I349"/>
    <mergeCell ref="J349:L349"/>
    <mergeCell ref="M349:O349"/>
    <mergeCell ref="L336:L337"/>
    <mergeCell ref="L338:L339"/>
    <mergeCell ref="L340:L341"/>
    <mergeCell ref="P366:Q366"/>
    <mergeCell ref="P367:Q367"/>
    <mergeCell ref="P361:Q361"/>
    <mergeCell ref="P362:Q362"/>
    <mergeCell ref="P363:Q363"/>
    <mergeCell ref="P364:Q364"/>
    <mergeCell ref="P365:Q365"/>
    <mergeCell ref="P356:Q356"/>
    <mergeCell ref="P357:Q357"/>
    <mergeCell ref="P358:Q358"/>
    <mergeCell ref="P359:Q359"/>
    <mergeCell ref="P360:Q360"/>
    <mergeCell ref="P351:Q351"/>
    <mergeCell ref="G337:G345"/>
    <mergeCell ref="H337:H345"/>
    <mergeCell ref="I337:I345"/>
    <mergeCell ref="J337:J345"/>
    <mergeCell ref="K336:K337"/>
    <mergeCell ref="K338:K339"/>
    <mergeCell ref="K340:K341"/>
    <mergeCell ref="K342:K343"/>
    <mergeCell ref="K344:K345"/>
    <mergeCell ref="P349:Q350"/>
    <mergeCell ref="P371:Q371"/>
    <mergeCell ref="A349:A350"/>
    <mergeCell ref="B349:B350"/>
    <mergeCell ref="C349:C350"/>
    <mergeCell ref="P368:Q368"/>
    <mergeCell ref="P369:Q369"/>
    <mergeCell ref="P370:Q370"/>
    <mergeCell ref="P352:Q352"/>
    <mergeCell ref="P353:Q353"/>
    <mergeCell ref="P354:Q354"/>
    <mergeCell ref="P355:Q355"/>
  </mergeCells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7"/>
  <sheetViews>
    <sheetView tabSelected="1" zoomScale="160" zoomScaleNormal="160" workbookViewId="0">
      <selection activeCell="C8" sqref="C8"/>
    </sheetView>
  </sheetViews>
  <sheetFormatPr defaultColWidth="9" defaultRowHeight="13.5" x14ac:dyDescent="0.15"/>
  <cols>
    <col min="5" max="5" width="12.625"/>
    <col min="7" max="7" width="11.5"/>
    <col min="13" max="13" width="12.625"/>
    <col min="18" max="20" width="12.625"/>
  </cols>
  <sheetData>
    <row r="1" spans="1:17" x14ac:dyDescent="0.15">
      <c r="A1" t="s">
        <v>25</v>
      </c>
      <c r="J1" t="s">
        <v>79</v>
      </c>
      <c r="P1" t="s">
        <v>0</v>
      </c>
    </row>
    <row r="2" spans="1:17" x14ac:dyDescent="0.15">
      <c r="A2" t="s">
        <v>80</v>
      </c>
      <c r="J2" t="s">
        <v>81</v>
      </c>
      <c r="P2" t="s">
        <v>82</v>
      </c>
    </row>
    <row r="4" spans="1:17" x14ac:dyDescent="0.15">
      <c r="A4" s="1" t="s">
        <v>83</v>
      </c>
      <c r="B4" s="1" t="s">
        <v>84</v>
      </c>
      <c r="C4" s="1" t="s">
        <v>85</v>
      </c>
      <c r="D4" s="1" t="s">
        <v>4</v>
      </c>
      <c r="E4" s="1" t="s">
        <v>55</v>
      </c>
      <c r="F4" s="2" t="s">
        <v>56</v>
      </c>
      <c r="G4" s="1" t="s">
        <v>20</v>
      </c>
      <c r="J4" s="1" t="s">
        <v>83</v>
      </c>
      <c r="K4" s="1" t="s">
        <v>86</v>
      </c>
      <c r="P4" s="1" t="s">
        <v>84</v>
      </c>
      <c r="Q4" s="1" t="s">
        <v>3</v>
      </c>
    </row>
    <row r="5" spans="1:17" x14ac:dyDescent="0.15">
      <c r="A5" s="14">
        <v>0.6</v>
      </c>
      <c r="B5" s="14">
        <v>1.9</v>
      </c>
      <c r="C5" s="14">
        <f>((2.5*B5)+2.5)*3.5</f>
        <v>25.375</v>
      </c>
      <c r="D5" s="15">
        <v>2</v>
      </c>
      <c r="E5" s="14">
        <f>1/(20/(20*(A5*A5)))*(((2.5*B5)+2.5)*1.75)-D5</f>
        <v>2.567499999999999</v>
      </c>
      <c r="F5" s="15">
        <v>12</v>
      </c>
      <c r="G5" s="14">
        <f>E5-F5</f>
        <v>-9.432500000000001</v>
      </c>
      <c r="J5" s="1">
        <v>0.8</v>
      </c>
      <c r="K5" s="1">
        <f>20/(20*(J5*J5))</f>
        <v>1.5624999999999998</v>
      </c>
      <c r="P5" s="1">
        <v>1</v>
      </c>
      <c r="Q5" s="1">
        <f>((2.5*P5)+2.5)*1.75</f>
        <v>8.75</v>
      </c>
    </row>
    <row r="6" spans="1:17" x14ac:dyDescent="0.15">
      <c r="A6" s="14">
        <v>0.6</v>
      </c>
      <c r="B6" s="14">
        <v>2.25</v>
      </c>
      <c r="C6" s="14">
        <f t="shared" ref="C6:C25" si="0">((2.5*B6)+2.5)*3.5</f>
        <v>28.4375</v>
      </c>
      <c r="D6" s="15">
        <v>2</v>
      </c>
      <c r="E6" s="14">
        <f t="shared" ref="E6:E25" si="1">1/(20/(20*(A6*A6)))*(((2.5*B6)+2.5)*1.75)-D6</f>
        <v>3.1187499999999986</v>
      </c>
      <c r="F6" s="15">
        <v>14</v>
      </c>
      <c r="G6" s="14">
        <f t="shared" ref="G6:G25" si="2">E6-F6</f>
        <v>-10.881250000000001</v>
      </c>
      <c r="J6" s="1">
        <v>1.5</v>
      </c>
      <c r="K6" s="1">
        <f t="shared" ref="K6:K25" si="3">20/(20*(J6*J6))</f>
        <v>0.44444444444444398</v>
      </c>
      <c r="P6" s="1">
        <v>2</v>
      </c>
      <c r="Q6" s="1">
        <f t="shared" ref="Q6:Q25" si="4">((2.5*P6)+2.5)*1.75</f>
        <v>13.125</v>
      </c>
    </row>
    <row r="7" spans="1:17" x14ac:dyDescent="0.15">
      <c r="A7" s="14">
        <v>0.6</v>
      </c>
      <c r="B7" s="14">
        <v>2.5</v>
      </c>
      <c r="C7" s="14">
        <f t="shared" si="0"/>
        <v>30.625</v>
      </c>
      <c r="D7" s="15">
        <v>2</v>
      </c>
      <c r="E7" s="14">
        <f t="shared" si="1"/>
        <v>3.5124999999999993</v>
      </c>
      <c r="F7" s="15">
        <v>16</v>
      </c>
      <c r="G7" s="14">
        <f t="shared" si="2"/>
        <v>-12.487500000000001</v>
      </c>
      <c r="J7" s="1">
        <v>3</v>
      </c>
      <c r="K7" s="1">
        <f t="shared" si="3"/>
        <v>0.11111111111111099</v>
      </c>
      <c r="P7" s="1">
        <v>3</v>
      </c>
      <c r="Q7" s="1">
        <f t="shared" si="4"/>
        <v>17.5</v>
      </c>
    </row>
    <row r="8" spans="1:17" x14ac:dyDescent="0.15">
      <c r="A8" s="14">
        <v>0.6</v>
      </c>
      <c r="B8" s="14">
        <v>3.5</v>
      </c>
      <c r="C8" s="14">
        <f t="shared" si="0"/>
        <v>39.375</v>
      </c>
      <c r="D8" s="15">
        <v>2</v>
      </c>
      <c r="E8" s="14">
        <f t="shared" si="1"/>
        <v>5.0874999999999986</v>
      </c>
      <c r="F8" s="15">
        <v>21</v>
      </c>
      <c r="G8" s="14">
        <f t="shared" si="2"/>
        <v>-15.912500000000001</v>
      </c>
      <c r="J8" s="1">
        <v>4</v>
      </c>
      <c r="K8" s="1">
        <f t="shared" si="3"/>
        <v>6.25E-2</v>
      </c>
      <c r="P8" s="1">
        <v>4</v>
      </c>
      <c r="Q8" s="1">
        <f t="shared" si="4"/>
        <v>21.875</v>
      </c>
    </row>
    <row r="9" spans="1:17" x14ac:dyDescent="0.15">
      <c r="A9" s="16">
        <v>0.7</v>
      </c>
      <c r="B9" s="16">
        <v>4.75</v>
      </c>
      <c r="C9" s="16">
        <f t="shared" si="0"/>
        <v>50.3125</v>
      </c>
      <c r="D9" s="17">
        <v>5</v>
      </c>
      <c r="E9" s="16">
        <f t="shared" si="1"/>
        <v>7.3265624999999996</v>
      </c>
      <c r="F9" s="17">
        <v>35</v>
      </c>
      <c r="G9" s="16">
        <f t="shared" si="2"/>
        <v>-27.673437499999999</v>
      </c>
      <c r="J9" s="1">
        <v>5</v>
      </c>
      <c r="K9" s="1">
        <f t="shared" si="3"/>
        <v>0.04</v>
      </c>
      <c r="P9" s="1">
        <v>5</v>
      </c>
      <c r="Q9" s="1">
        <f t="shared" si="4"/>
        <v>26.25</v>
      </c>
    </row>
    <row r="10" spans="1:17" x14ac:dyDescent="0.15">
      <c r="A10" s="16">
        <v>0.7</v>
      </c>
      <c r="B10" s="16">
        <v>5.5</v>
      </c>
      <c r="C10" s="16">
        <f t="shared" si="0"/>
        <v>56.875</v>
      </c>
      <c r="D10" s="17">
        <v>5</v>
      </c>
      <c r="E10" s="16">
        <f t="shared" si="1"/>
        <v>8.9343749999999993</v>
      </c>
      <c r="F10" s="17">
        <v>41</v>
      </c>
      <c r="G10" s="16">
        <f t="shared" si="2"/>
        <v>-32.065624999999997</v>
      </c>
      <c r="J10" s="1">
        <v>6</v>
      </c>
      <c r="K10" s="1">
        <f t="shared" si="3"/>
        <v>2.7777777777777801E-2</v>
      </c>
      <c r="P10" s="1">
        <v>6</v>
      </c>
      <c r="Q10" s="1">
        <f t="shared" si="4"/>
        <v>30.625</v>
      </c>
    </row>
    <row r="11" spans="1:17" x14ac:dyDescent="0.15">
      <c r="A11" s="16">
        <v>0.7</v>
      </c>
      <c r="B11" s="16">
        <v>6.5</v>
      </c>
      <c r="C11" s="16">
        <f t="shared" si="0"/>
        <v>65.625</v>
      </c>
      <c r="D11" s="17">
        <v>5</v>
      </c>
      <c r="E11" s="16">
        <f t="shared" si="1"/>
        <v>11.078125</v>
      </c>
      <c r="F11" s="17">
        <v>48</v>
      </c>
      <c r="G11" s="16">
        <f t="shared" si="2"/>
        <v>-36.921875</v>
      </c>
      <c r="J11" s="1">
        <v>7</v>
      </c>
      <c r="K11" s="1">
        <f t="shared" si="3"/>
        <v>2.04081632653061E-2</v>
      </c>
      <c r="P11" s="1">
        <v>7</v>
      </c>
      <c r="Q11" s="1">
        <f t="shared" si="4"/>
        <v>35</v>
      </c>
    </row>
    <row r="12" spans="1:17" x14ac:dyDescent="0.15">
      <c r="A12" s="16">
        <v>0.7</v>
      </c>
      <c r="B12" s="16">
        <v>7.5</v>
      </c>
      <c r="C12" s="16">
        <f t="shared" si="0"/>
        <v>74.375</v>
      </c>
      <c r="D12" s="17">
        <v>5</v>
      </c>
      <c r="E12" s="16">
        <f t="shared" si="1"/>
        <v>13.221875000000001</v>
      </c>
      <c r="F12" s="17">
        <v>55</v>
      </c>
      <c r="G12" s="16">
        <f t="shared" si="2"/>
        <v>-41.778125000000003</v>
      </c>
      <c r="J12" s="1">
        <v>8</v>
      </c>
      <c r="K12" s="1">
        <f t="shared" si="3"/>
        <v>1.5625E-2</v>
      </c>
      <c r="P12" s="1">
        <v>8</v>
      </c>
      <c r="Q12" s="1">
        <f t="shared" si="4"/>
        <v>39.375</v>
      </c>
    </row>
    <row r="13" spans="1:17" x14ac:dyDescent="0.15">
      <c r="A13" s="14">
        <v>0.8</v>
      </c>
      <c r="B13" s="14">
        <v>13</v>
      </c>
      <c r="C13" s="14">
        <f t="shared" si="0"/>
        <v>122.5</v>
      </c>
      <c r="D13" s="15">
        <v>20</v>
      </c>
      <c r="E13" s="14">
        <f t="shared" si="1"/>
        <v>19.20000000000001</v>
      </c>
      <c r="F13" s="15">
        <v>110</v>
      </c>
      <c r="G13" s="14">
        <f t="shared" si="2"/>
        <v>-90.799999999999983</v>
      </c>
      <c r="J13" s="1">
        <v>9</v>
      </c>
      <c r="K13" s="1">
        <f t="shared" si="3"/>
        <v>1.2345679012345699E-2</v>
      </c>
      <c r="P13" s="1">
        <v>9</v>
      </c>
      <c r="Q13" s="1">
        <f t="shared" si="4"/>
        <v>43.75</v>
      </c>
    </row>
    <row r="14" spans="1:17" x14ac:dyDescent="0.15">
      <c r="A14" s="14">
        <v>0.8</v>
      </c>
      <c r="B14" s="14">
        <v>14.5</v>
      </c>
      <c r="C14" s="14">
        <f t="shared" si="0"/>
        <v>135.625</v>
      </c>
      <c r="D14" s="15">
        <v>20</v>
      </c>
      <c r="E14" s="14">
        <f t="shared" si="1"/>
        <v>23.400000000000006</v>
      </c>
      <c r="F14" s="15">
        <v>123</v>
      </c>
      <c r="G14" s="14">
        <f t="shared" si="2"/>
        <v>-99.6</v>
      </c>
      <c r="J14" s="1">
        <v>10</v>
      </c>
      <c r="K14" s="1">
        <f t="shared" si="3"/>
        <v>0.01</v>
      </c>
      <c r="P14" s="1">
        <v>10</v>
      </c>
      <c r="Q14" s="1">
        <f t="shared" si="4"/>
        <v>48.125</v>
      </c>
    </row>
    <row r="15" spans="1:17" x14ac:dyDescent="0.15">
      <c r="A15" s="14">
        <v>0.8</v>
      </c>
      <c r="B15" s="14">
        <v>16</v>
      </c>
      <c r="C15" s="14">
        <f t="shared" si="0"/>
        <v>148.75</v>
      </c>
      <c r="D15" s="15">
        <v>20</v>
      </c>
      <c r="E15" s="14">
        <f t="shared" si="1"/>
        <v>27.600000000000009</v>
      </c>
      <c r="F15" s="15">
        <v>136</v>
      </c>
      <c r="G15" s="14">
        <f t="shared" si="2"/>
        <v>-108.39999999999999</v>
      </c>
      <c r="J15" s="1">
        <v>11</v>
      </c>
      <c r="K15" s="1">
        <f t="shared" si="3"/>
        <v>8.2644628099173608E-3</v>
      </c>
      <c r="P15" s="1">
        <v>11</v>
      </c>
      <c r="Q15" s="1">
        <f t="shared" si="4"/>
        <v>52.5</v>
      </c>
    </row>
    <row r="16" spans="1:17" x14ac:dyDescent="0.15">
      <c r="A16" s="14">
        <v>0.8</v>
      </c>
      <c r="B16" s="14">
        <v>18.5</v>
      </c>
      <c r="C16" s="14">
        <f t="shared" si="0"/>
        <v>170.625</v>
      </c>
      <c r="D16" s="15">
        <v>20</v>
      </c>
      <c r="E16" s="14">
        <f t="shared" si="1"/>
        <v>34.600000000000009</v>
      </c>
      <c r="F16" s="15">
        <v>157</v>
      </c>
      <c r="G16" s="14">
        <f t="shared" si="2"/>
        <v>-122.39999999999999</v>
      </c>
      <c r="J16" s="1">
        <v>12</v>
      </c>
      <c r="K16" s="1">
        <f t="shared" si="3"/>
        <v>6.9444444444444397E-3</v>
      </c>
      <c r="P16" s="1">
        <v>12</v>
      </c>
      <c r="Q16" s="1">
        <f t="shared" si="4"/>
        <v>56.875</v>
      </c>
    </row>
    <row r="17" spans="1:17" x14ac:dyDescent="0.15">
      <c r="A17" s="14">
        <v>0.8</v>
      </c>
      <c r="B17" s="14">
        <v>20.5</v>
      </c>
      <c r="C17" s="14">
        <f t="shared" si="0"/>
        <v>188.125</v>
      </c>
      <c r="D17" s="15">
        <v>20</v>
      </c>
      <c r="E17" s="14">
        <f t="shared" si="1"/>
        <v>40.20000000000001</v>
      </c>
      <c r="F17" s="15">
        <v>176</v>
      </c>
      <c r="G17" s="14">
        <f t="shared" si="2"/>
        <v>-135.79999999999998</v>
      </c>
      <c r="J17" s="1">
        <v>13</v>
      </c>
      <c r="K17" s="1">
        <f t="shared" si="3"/>
        <v>5.9171597633136102E-3</v>
      </c>
      <c r="P17" s="1">
        <v>13</v>
      </c>
      <c r="Q17" s="1">
        <f t="shared" si="4"/>
        <v>61.25</v>
      </c>
    </row>
    <row r="18" spans="1:17" x14ac:dyDescent="0.15">
      <c r="A18" s="14">
        <v>0.8</v>
      </c>
      <c r="B18" s="14">
        <v>21.5</v>
      </c>
      <c r="C18" s="14">
        <f t="shared" si="0"/>
        <v>196.875</v>
      </c>
      <c r="D18" s="15">
        <v>20</v>
      </c>
      <c r="E18" s="14">
        <f t="shared" si="1"/>
        <v>43.000000000000014</v>
      </c>
      <c r="F18" s="15">
        <v>187</v>
      </c>
      <c r="G18" s="14">
        <f t="shared" si="2"/>
        <v>-144</v>
      </c>
      <c r="J18" s="1">
        <v>14</v>
      </c>
      <c r="K18" s="1">
        <f t="shared" si="3"/>
        <v>5.1020408163265302E-3</v>
      </c>
      <c r="P18" s="1">
        <v>14</v>
      </c>
      <c r="Q18" s="1">
        <f t="shared" si="4"/>
        <v>65.625</v>
      </c>
    </row>
    <row r="19" spans="1:17" x14ac:dyDescent="0.15">
      <c r="A19" s="16">
        <v>0.9</v>
      </c>
      <c r="B19" s="16">
        <v>30</v>
      </c>
      <c r="C19" s="16">
        <f t="shared" si="0"/>
        <v>271.25</v>
      </c>
      <c r="D19" s="17">
        <v>100</v>
      </c>
      <c r="E19" s="16">
        <f t="shared" si="1"/>
        <v>9.8562500000000171</v>
      </c>
      <c r="F19" s="17">
        <v>247</v>
      </c>
      <c r="G19" s="16">
        <f t="shared" si="2"/>
        <v>-237.14374999999998</v>
      </c>
      <c r="J19" s="1">
        <v>15</v>
      </c>
      <c r="K19" s="1">
        <f t="shared" si="3"/>
        <v>4.4444444444444401E-3</v>
      </c>
      <c r="P19" s="1">
        <v>15</v>
      </c>
      <c r="Q19" s="1">
        <f t="shared" si="4"/>
        <v>70</v>
      </c>
    </row>
    <row r="20" spans="1:17" x14ac:dyDescent="0.15">
      <c r="A20" s="16">
        <v>0.9</v>
      </c>
      <c r="B20" s="16">
        <v>32.5</v>
      </c>
      <c r="C20" s="16">
        <f t="shared" si="0"/>
        <v>293.125</v>
      </c>
      <c r="D20" s="17">
        <v>100</v>
      </c>
      <c r="E20" s="16">
        <f t="shared" si="1"/>
        <v>18.715625000000017</v>
      </c>
      <c r="F20" s="17">
        <v>273</v>
      </c>
      <c r="G20" s="16">
        <f t="shared" si="2"/>
        <v>-254.28437499999998</v>
      </c>
      <c r="J20" s="1">
        <v>16</v>
      </c>
      <c r="K20" s="1">
        <f t="shared" si="3"/>
        <v>3.90625E-3</v>
      </c>
      <c r="P20" s="1">
        <v>16</v>
      </c>
      <c r="Q20" s="1">
        <f t="shared" si="4"/>
        <v>74.375</v>
      </c>
    </row>
    <row r="21" spans="1:17" x14ac:dyDescent="0.15">
      <c r="A21" s="16">
        <v>0.9</v>
      </c>
      <c r="B21" s="16">
        <v>35.5</v>
      </c>
      <c r="C21" s="16">
        <f t="shared" si="0"/>
        <v>319.375</v>
      </c>
      <c r="D21" s="17">
        <v>100</v>
      </c>
      <c r="E21" s="16">
        <f t="shared" si="1"/>
        <v>29.34687500000004</v>
      </c>
      <c r="F21" s="17">
        <v>306</v>
      </c>
      <c r="G21" s="16">
        <f t="shared" si="2"/>
        <v>-276.65312499999993</v>
      </c>
      <c r="J21" s="1">
        <v>17</v>
      </c>
      <c r="K21" s="1">
        <f t="shared" si="3"/>
        <v>3.4602076124567501E-3</v>
      </c>
      <c r="P21" s="1">
        <v>17</v>
      </c>
      <c r="Q21" s="1">
        <f t="shared" si="4"/>
        <v>78.75</v>
      </c>
    </row>
    <row r="22" spans="1:17" x14ac:dyDescent="0.15">
      <c r="A22" s="14">
        <v>0.95</v>
      </c>
      <c r="B22" s="14">
        <v>50</v>
      </c>
      <c r="C22" s="14">
        <f t="shared" si="0"/>
        <v>446.25</v>
      </c>
      <c r="D22" s="15">
        <v>200</v>
      </c>
      <c r="E22" s="14">
        <f t="shared" si="1"/>
        <v>1.3703125000000114</v>
      </c>
      <c r="F22" s="15">
        <v>611</v>
      </c>
      <c r="G22" s="14">
        <f t="shared" si="2"/>
        <v>-609.62968750000005</v>
      </c>
      <c r="J22" s="1">
        <v>18</v>
      </c>
      <c r="K22" s="1">
        <f t="shared" si="3"/>
        <v>3.08641975308642E-3</v>
      </c>
      <c r="P22" s="1">
        <v>18</v>
      </c>
      <c r="Q22" s="1">
        <f t="shared" si="4"/>
        <v>83.125</v>
      </c>
    </row>
    <row r="23" spans="1:17" x14ac:dyDescent="0.15">
      <c r="A23" s="14">
        <v>0.95</v>
      </c>
      <c r="B23" s="14">
        <v>55.5</v>
      </c>
      <c r="C23" s="14">
        <f t="shared" si="0"/>
        <v>494.375</v>
      </c>
      <c r="D23" s="15">
        <v>200</v>
      </c>
      <c r="E23" s="14">
        <f t="shared" si="1"/>
        <v>23.086718750000017</v>
      </c>
      <c r="F23" s="15">
        <v>703</v>
      </c>
      <c r="G23" s="14">
        <f t="shared" si="2"/>
        <v>-679.91328124999995</v>
      </c>
      <c r="J23" s="1">
        <v>19</v>
      </c>
      <c r="K23" s="1">
        <f t="shared" si="3"/>
        <v>2.77008310249307E-3</v>
      </c>
      <c r="P23" s="1">
        <v>19</v>
      </c>
      <c r="Q23" s="1">
        <f t="shared" si="4"/>
        <v>87.5</v>
      </c>
    </row>
    <row r="24" spans="1:17" x14ac:dyDescent="0.15">
      <c r="A24" s="14">
        <v>0.95</v>
      </c>
      <c r="B24" s="14">
        <v>62.5</v>
      </c>
      <c r="C24" s="14">
        <f t="shared" si="0"/>
        <v>555.625</v>
      </c>
      <c r="D24" s="15">
        <v>200</v>
      </c>
      <c r="E24" s="14">
        <f t="shared" si="1"/>
        <v>50.725781250000011</v>
      </c>
      <c r="F24" s="15">
        <v>812</v>
      </c>
      <c r="G24" s="14">
        <f t="shared" si="2"/>
        <v>-761.27421875000005</v>
      </c>
      <c r="J24" s="1">
        <v>20</v>
      </c>
      <c r="K24" s="1">
        <f t="shared" si="3"/>
        <v>2.5000000000000001E-3</v>
      </c>
      <c r="P24" s="1">
        <v>20</v>
      </c>
      <c r="Q24" s="1">
        <f t="shared" si="4"/>
        <v>91.875</v>
      </c>
    </row>
    <row r="25" spans="1:17" x14ac:dyDescent="0.15">
      <c r="A25" s="14">
        <v>0.95</v>
      </c>
      <c r="B25" s="14">
        <v>75</v>
      </c>
      <c r="C25" s="14">
        <f t="shared" si="0"/>
        <v>665</v>
      </c>
      <c r="D25" s="15">
        <v>200</v>
      </c>
      <c r="E25" s="14">
        <f t="shared" si="1"/>
        <v>100.08125000000001</v>
      </c>
      <c r="F25" s="15">
        <v>971</v>
      </c>
      <c r="G25" s="14">
        <f t="shared" si="2"/>
        <v>-870.91875000000005</v>
      </c>
      <c r="J25" s="1">
        <v>21</v>
      </c>
      <c r="K25" s="1">
        <f t="shared" si="3"/>
        <v>2.26757369614512E-3</v>
      </c>
      <c r="P25" s="1">
        <v>21</v>
      </c>
      <c r="Q25" s="1">
        <f t="shared" si="4"/>
        <v>96.25</v>
      </c>
    </row>
    <row r="27" spans="1:17" x14ac:dyDescent="0.15">
      <c r="B27" s="14"/>
      <c r="C27" s="34"/>
    </row>
    <row r="28" spans="1:17" x14ac:dyDescent="0.15">
      <c r="B28" s="14"/>
      <c r="C28" s="34"/>
    </row>
    <row r="29" spans="1:17" x14ac:dyDescent="0.15">
      <c r="B29" s="14"/>
      <c r="C29" s="34"/>
    </row>
    <row r="30" spans="1:17" x14ac:dyDescent="0.15">
      <c r="B30" s="14"/>
      <c r="C30" s="34"/>
    </row>
    <row r="31" spans="1:17" x14ac:dyDescent="0.15">
      <c r="B31" s="16"/>
      <c r="C31" s="34"/>
    </row>
    <row r="32" spans="1:17" x14ac:dyDescent="0.15">
      <c r="B32" s="16"/>
      <c r="C32" s="34"/>
    </row>
    <row r="33" spans="2:3" x14ac:dyDescent="0.15">
      <c r="B33" s="16"/>
      <c r="C33" s="34"/>
    </row>
    <row r="34" spans="2:3" x14ac:dyDescent="0.15">
      <c r="B34" s="16"/>
      <c r="C34" s="34"/>
    </row>
    <row r="35" spans="2:3" x14ac:dyDescent="0.15">
      <c r="B35" s="14"/>
      <c r="C35" s="34"/>
    </row>
    <row r="36" spans="2:3" x14ac:dyDescent="0.15">
      <c r="B36" s="14"/>
      <c r="C36" s="34"/>
    </row>
    <row r="37" spans="2:3" x14ac:dyDescent="0.15">
      <c r="B37" s="14"/>
      <c r="C37" s="34"/>
    </row>
    <row r="38" spans="2:3" x14ac:dyDescent="0.15">
      <c r="B38" s="14"/>
      <c r="C38" s="34"/>
    </row>
    <row r="39" spans="2:3" x14ac:dyDescent="0.15">
      <c r="B39" s="14"/>
      <c r="C39" s="34"/>
    </row>
    <row r="40" spans="2:3" x14ac:dyDescent="0.15">
      <c r="B40" s="14"/>
      <c r="C40" s="34"/>
    </row>
    <row r="41" spans="2:3" x14ac:dyDescent="0.15">
      <c r="B41" s="16"/>
      <c r="C41" s="34"/>
    </row>
    <row r="42" spans="2:3" x14ac:dyDescent="0.15">
      <c r="B42" s="16"/>
      <c r="C42" s="34"/>
    </row>
    <row r="43" spans="2:3" x14ac:dyDescent="0.15">
      <c r="B43" s="16"/>
      <c r="C43" s="34"/>
    </row>
    <row r="44" spans="2:3" x14ac:dyDescent="0.15">
      <c r="B44" s="14"/>
      <c r="C44" s="34"/>
    </row>
    <row r="45" spans="2:3" x14ac:dyDescent="0.15">
      <c r="B45" s="14"/>
      <c r="C45" s="34"/>
    </row>
    <row r="46" spans="2:3" x14ac:dyDescent="0.15">
      <c r="B46" s="14"/>
      <c r="C46" s="34"/>
    </row>
    <row r="47" spans="2:3" x14ac:dyDescent="0.15">
      <c r="B47" s="14"/>
      <c r="C47" s="34"/>
    </row>
  </sheetData>
  <phoneticPr fontId="5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"/>
  <sheetViews>
    <sheetView workbookViewId="0"/>
  </sheetViews>
  <sheetFormatPr defaultColWidth="9" defaultRowHeight="13.5" x14ac:dyDescent="0.15"/>
  <sheetData>
    <row r="2" spans="1:1" x14ac:dyDescent="0.15">
      <c r="A2" t="s">
        <v>87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伤害计算</vt:lpstr>
      <vt:lpstr>数值投放</vt:lpstr>
      <vt:lpstr>材料数值</vt:lpstr>
      <vt:lpstr>远程武器</vt:lpstr>
      <vt:lpstr>角色属性构成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cp:lastPrinted>2025-07-15T07:54:44Z</cp:lastPrinted>
  <dcterms:created xsi:type="dcterms:W3CDTF">2023-05-12T11:15:00Z</dcterms:created>
  <dcterms:modified xsi:type="dcterms:W3CDTF">2025-07-16T06:56:55Z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959EB58CF5724AE394FA4858F282CC6F_12</vt:lpwstr>
  </property>
</Properties>
</file>